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5C71F76B-3578-4957-A05F-1A322ED3788D}" xr6:coauthVersionLast="47" xr6:coauthVersionMax="47" xr10:uidLastSave="{00000000-0000-0000-0000-000000000000}"/>
  <bookViews>
    <workbookView xWindow="-120" yWindow="-120" windowWidth="29040" windowHeight="15840" activeTab="14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R155" i="15" l="1"/>
  <c r="S137" i="15"/>
  <c r="S138" i="15"/>
  <c r="S139" i="15"/>
  <c r="S140" i="15"/>
  <c r="S141" i="15"/>
  <c r="S142" i="15"/>
  <c r="S143" i="15"/>
  <c r="S144" i="15"/>
  <c r="S145" i="15"/>
  <c r="S146" i="15"/>
  <c r="S147" i="15"/>
  <c r="S148" i="15"/>
  <c r="S149" i="15"/>
  <c r="S150" i="15"/>
  <c r="S151" i="15"/>
  <c r="S152" i="15"/>
  <c r="S153" i="15"/>
  <c r="S154" i="15"/>
  <c r="S155" i="15"/>
  <c r="S136" i="15"/>
  <c r="R156" i="15"/>
  <c r="Y143" i="15"/>
  <c r="Y138" i="15"/>
  <c r="Y139" i="15"/>
  <c r="Y140" i="15"/>
  <c r="Y141" i="15"/>
  <c r="Y137" i="15"/>
  <c r="J182" i="15" l="1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181" i="15"/>
  <c r="I182" i="15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F159" i="15"/>
  <c r="N182" i="15"/>
  <c r="N183" i="15"/>
  <c r="N184" i="15"/>
  <c r="N185" i="15"/>
  <c r="N186" i="15"/>
  <c r="N187" i="15"/>
  <c r="N188" i="15"/>
  <c r="N189" i="15"/>
  <c r="N190" i="15"/>
  <c r="N191" i="15"/>
  <c r="N192" i="15"/>
  <c r="N193" i="15"/>
  <c r="N194" i="15"/>
  <c r="N195" i="15"/>
  <c r="N196" i="15"/>
  <c r="N197" i="15"/>
  <c r="N198" i="15"/>
  <c r="N199" i="15"/>
  <c r="N200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181" i="15"/>
  <c r="N181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59" i="15"/>
  <c r="J159" i="15"/>
  <c r="P182" i="15" l="1"/>
  <c r="P181" i="15"/>
  <c r="P159" i="15"/>
  <c r="I160" i="15"/>
  <c r="J160" i="15" s="1"/>
  <c r="P183" i="15"/>
  <c r="P184" i="15"/>
  <c r="P160" i="15" l="1"/>
  <c r="AR10" i="25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F160" i="15" l="1"/>
  <c r="I161" i="15"/>
  <c r="P185" i="15"/>
  <c r="V18" i="25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J161" i="15" l="1"/>
  <c r="P186" i="15"/>
  <c r="AE18" i="25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P161" i="15" l="1"/>
  <c r="P187" i="15"/>
  <c r="AF21" i="17"/>
  <c r="AG22" i="17"/>
  <c r="AF19" i="17"/>
  <c r="AF20" i="17"/>
  <c r="AG21" i="17"/>
  <c r="AG20" i="17"/>
  <c r="F161" i="15" l="1"/>
  <c r="I162" i="15"/>
  <c r="P188" i="15"/>
  <c r="AE10" i="17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J162" i="15" l="1"/>
  <c r="P189" i="15"/>
  <c r="D72" i="17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P162" i="15" l="1"/>
  <c r="P190" i="15"/>
  <c r="Z133" i="17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F162" i="15" l="1"/>
  <c r="I163" i="15"/>
  <c r="P191" i="15"/>
  <c r="Y133" i="17"/>
  <c r="Y134" i="17"/>
  <c r="Y135" i="17"/>
  <c r="AA133" i="17"/>
  <c r="AA135" i="17"/>
  <c r="AA134" i="17"/>
  <c r="F73" i="17"/>
  <c r="E73" i="17"/>
  <c r="G73" i="17"/>
  <c r="D73" i="17"/>
  <c r="AA87" i="15"/>
  <c r="AA88" i="15"/>
  <c r="J163" i="15" l="1"/>
  <c r="P192" i="15"/>
  <c r="Z136" i="17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P163" i="15" l="1"/>
  <c r="P193" i="15"/>
  <c r="AA140" i="17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F163" i="15" l="1"/>
  <c r="I164" i="15"/>
  <c r="P194" i="15"/>
  <c r="AA144" i="17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J164" i="15" l="1"/>
  <c r="P195" i="15"/>
  <c r="Y145" i="17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P164" i="15" l="1"/>
  <c r="P196" i="15"/>
  <c r="Z148" i="17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F164" i="15" l="1"/>
  <c r="I165" i="15"/>
  <c r="P197" i="15"/>
  <c r="AA152" i="17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J165" i="15" l="1"/>
  <c r="P198" i="15"/>
  <c r="Y154" i="17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0" i="15"/>
  <c r="X21" i="15" s="1"/>
  <c r="X22" i="15" s="1"/>
  <c r="X23" i="15" s="1"/>
  <c r="X24" i="15" s="1"/>
  <c r="X25" i="15" s="1"/>
  <c r="X26" i="15" s="1"/>
  <c r="X27" i="15" s="1"/>
  <c r="X28" i="15" s="1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P165" i="15" l="1"/>
  <c r="P200" i="15"/>
  <c r="P199" i="15"/>
  <c r="AA157" i="17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F165" i="15" l="1"/>
  <c r="I166" i="15"/>
  <c r="AA160" i="17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J166" i="15" l="1"/>
  <c r="AA164" i="17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P166" i="15" l="1"/>
  <c r="AA168" i="17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F166" i="15" l="1"/>
  <c r="I167" i="15"/>
  <c r="Y174" i="17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J167" i="15" l="1"/>
  <c r="AA175" i="17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P167" i="15" l="1"/>
  <c r="F88" i="17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F167" i="15" l="1"/>
  <c r="I168" i="15"/>
  <c r="E89" i="17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J168" i="15" l="1"/>
  <c r="E90" i="17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P168" i="15" l="1"/>
  <c r="G91" i="17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F168" i="15" l="1"/>
  <c r="I169" i="15"/>
  <c r="AI17" i="5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J169" i="15" l="1"/>
  <c r="AI18" i="5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P169" i="15" l="1"/>
  <c r="AI19" i="5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F169" i="15" l="1"/>
  <c r="I170" i="15"/>
  <c r="R19" i="5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J170" i="15" l="1"/>
  <c r="AI21" i="5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P170" i="15" l="1"/>
  <c r="AI22" i="5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F170" i="15" l="1"/>
  <c r="I171" i="15"/>
  <c r="AI23" i="5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J171" i="15" l="1"/>
  <c r="AI24" i="5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P171" i="15" l="1"/>
  <c r="AI25" i="5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F171" i="15" l="1"/>
  <c r="I172" i="15"/>
  <c r="AI26" i="5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J172" i="15" l="1"/>
  <c r="AI27" i="5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P172" i="15" l="1"/>
  <c r="AI28" i="5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F172" i="15" l="1"/>
  <c r="I173" i="15"/>
  <c r="AI29" i="5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J173" i="15" l="1"/>
  <c r="R29" i="5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P173" i="15" l="1"/>
  <c r="B30" i="2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F173" i="15" l="1"/>
  <c r="I174" i="15"/>
  <c r="I99" i="20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J174" i="15" l="1"/>
  <c r="D30" i="20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P174" i="15" l="1"/>
  <c r="Z35" i="17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F174" i="15" l="1"/>
  <c r="I175" i="15"/>
  <c r="X42" i="17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J175" i="15" l="1"/>
  <c r="B35" i="2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P175" i="15" l="1"/>
  <c r="I104" i="20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175" i="15" l="1"/>
  <c r="I176" i="15"/>
  <c r="F34" i="2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J176" i="15" l="1"/>
  <c r="X49" i="17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P176" i="15" l="1"/>
  <c r="G37" i="17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F176" i="15" l="1"/>
  <c r="I177" i="15"/>
  <c r="B40" i="16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J177" i="15" l="1"/>
  <c r="W41" i="20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P177" i="15" l="1"/>
  <c r="B42" i="16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77" i="15" l="1"/>
  <c r="I178" i="15"/>
  <c r="J178" i="15" s="1"/>
  <c r="F112" i="20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P178" i="15" l="1"/>
  <c r="F178" i="15"/>
  <c r="Y60" i="17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8" i="7"/>
  <c r="AN78" i="7"/>
  <c r="AV76" i="7"/>
  <c r="AN76" i="7"/>
  <c r="AV75" i="7"/>
  <c r="AN75" i="7"/>
  <c r="AX20" i="7"/>
  <c r="AX38" i="7"/>
  <c r="AX35" i="7"/>
  <c r="AX31" i="7"/>
  <c r="AX78" i="7"/>
  <c r="AX17" i="7"/>
  <c r="AX26" i="7"/>
  <c r="AX24" i="7"/>
  <c r="AX44" i="7"/>
  <c r="AX32" i="7"/>
  <c r="AX19" i="7"/>
  <c r="AX29" i="7"/>
  <c r="AX25" i="7"/>
  <c r="AX75" i="7"/>
  <c r="AX30" i="7"/>
  <c r="AX43" i="7"/>
  <c r="AX76" i="7"/>
  <c r="AX41" i="7"/>
  <c r="AX37" i="7"/>
  <c r="AX77" i="7"/>
  <c r="AX36" i="7"/>
  <c r="AX18" i="7"/>
  <c r="AX23" i="7"/>
  <c r="AX42" i="7"/>
  <c r="AQ18" i="7"/>
  <c r="AQ41" i="7"/>
  <c r="AQ24" i="7"/>
  <c r="AQ17" i="7"/>
  <c r="AQ26" i="7"/>
  <c r="AQ78" i="7"/>
  <c r="AQ75" i="7"/>
  <c r="AQ31" i="7"/>
  <c r="AQ29" i="7"/>
  <c r="AQ36" i="7"/>
  <c r="AQ77" i="7"/>
  <c r="AQ30" i="7"/>
  <c r="AQ35" i="7"/>
  <c r="AQ32" i="7"/>
  <c r="AQ76" i="7"/>
  <c r="AQ43" i="7"/>
  <c r="AQ37" i="7"/>
  <c r="AQ25" i="7"/>
  <c r="AQ20" i="7"/>
  <c r="AQ42" i="7"/>
  <c r="AQ19" i="7"/>
  <c r="AQ44" i="7"/>
  <c r="AQ23" i="7"/>
  <c r="AQ38" i="7"/>
  <c r="AO26" i="7"/>
  <c r="AO17" i="7"/>
  <c r="AO19" i="7"/>
  <c r="AO77" i="7"/>
  <c r="AO76" i="7"/>
  <c r="AO36" i="7"/>
  <c r="AO18" i="7"/>
  <c r="AO32" i="7"/>
  <c r="AO44" i="7"/>
  <c r="AO75" i="7"/>
  <c r="AO37" i="7"/>
  <c r="AO29" i="7"/>
  <c r="AO38" i="7"/>
  <c r="AO35" i="7"/>
  <c r="AO30" i="7"/>
  <c r="AO41" i="7"/>
  <c r="AO78" i="7"/>
  <c r="AO25" i="7"/>
  <c r="AO42" i="7"/>
  <c r="AO31" i="7"/>
  <c r="AO20" i="7"/>
  <c r="AO43" i="7"/>
  <c r="AO23" i="7"/>
  <c r="AO24" i="7"/>
  <c r="AN24" i="7"/>
  <c r="AN29" i="7"/>
  <c r="AN37" i="7"/>
  <c r="AN42" i="7"/>
  <c r="AN19" i="7"/>
  <c r="AN18" i="7"/>
  <c r="AN43" i="7"/>
  <c r="AN30" i="7"/>
  <c r="AN32" i="7"/>
  <c r="AN38" i="7"/>
  <c r="AN41" i="7"/>
  <c r="AN35" i="7"/>
  <c r="AN26" i="7"/>
  <c r="AN44" i="7"/>
  <c r="AN25" i="7"/>
  <c r="AN20" i="7"/>
  <c r="AN31" i="7"/>
  <c r="AN36" i="7"/>
  <c r="AN17" i="7"/>
  <c r="AV26" i="7"/>
  <c r="AV17" i="7"/>
  <c r="AV20" i="7"/>
  <c r="AV31" i="7"/>
  <c r="AV32" i="7"/>
  <c r="AV38" i="7"/>
  <c r="AV44" i="7"/>
  <c r="AV19" i="7"/>
  <c r="AV29" i="7"/>
  <c r="AV35" i="7"/>
  <c r="AV36" i="7"/>
  <c r="AV41" i="7"/>
  <c r="AV18" i="7"/>
  <c r="AV37" i="7"/>
  <c r="AV42" i="7"/>
  <c r="AV24" i="7"/>
  <c r="AV25" i="7"/>
  <c r="AV43" i="7"/>
  <c r="AV23" i="7"/>
  <c r="AV30" i="7"/>
  <c r="AW42" i="7"/>
  <c r="AW37" i="7"/>
  <c r="AW17" i="7"/>
  <c r="AW26" i="7"/>
  <c r="AW38" i="7"/>
  <c r="AW36" i="7"/>
  <c r="AW20" i="7"/>
  <c r="AW77" i="7"/>
  <c r="AW76" i="7"/>
  <c r="AW18" i="7"/>
  <c r="AW19" i="7"/>
  <c r="AW75" i="7"/>
  <c r="AW78" i="7"/>
  <c r="AW30" i="7"/>
  <c r="AW44" i="7"/>
  <c r="AW32" i="7"/>
  <c r="AW43" i="7"/>
  <c r="AW25" i="7"/>
  <c r="AW41" i="7"/>
  <c r="AW31" i="7"/>
  <c r="AW35" i="7"/>
  <c r="AW29" i="7"/>
  <c r="AW23" i="7"/>
  <c r="AW24" i="7"/>
  <c r="AY32" i="7"/>
  <c r="AY75" i="7"/>
  <c r="AY35" i="7"/>
  <c r="AY20" i="7"/>
  <c r="AY18" i="7"/>
  <c r="AY17" i="7"/>
  <c r="AY38" i="7"/>
  <c r="AY29" i="7"/>
  <c r="AY30" i="7"/>
  <c r="AY24" i="7"/>
  <c r="AY31" i="7"/>
  <c r="AY77" i="7"/>
  <c r="AY26" i="7"/>
  <c r="AY76" i="7"/>
  <c r="AY42" i="7"/>
  <c r="AY78" i="7"/>
  <c r="AY44" i="7"/>
  <c r="AY25" i="7"/>
  <c r="AY41" i="7"/>
  <c r="AY37" i="7"/>
  <c r="AY43" i="7"/>
  <c r="AY19" i="7"/>
  <c r="AY23" i="7"/>
  <c r="AY36" i="7"/>
  <c r="AP38" i="7"/>
  <c r="AP44" i="7"/>
  <c r="AP31" i="7"/>
  <c r="AP29" i="7"/>
  <c r="AP26" i="7"/>
  <c r="AP30" i="7"/>
  <c r="AP17" i="7"/>
  <c r="AP76" i="7"/>
  <c r="AP36" i="7"/>
  <c r="AP41" i="7"/>
  <c r="AP18" i="7"/>
  <c r="AP78" i="7"/>
  <c r="AP32" i="7"/>
  <c r="AP77" i="7"/>
  <c r="AP75" i="7"/>
  <c r="AP24" i="7"/>
  <c r="AP25" i="7"/>
  <c r="AP20" i="7"/>
  <c r="AP43" i="7"/>
  <c r="AP19" i="7"/>
  <c r="AP42" i="7"/>
  <c r="AP37" i="7"/>
  <c r="AP23" i="7"/>
  <c r="AP35" i="7"/>
  <c r="AN23" i="7"/>
  <c r="AN77" i="7"/>
  <c r="AV7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<sst xmlns="http://schemas.openxmlformats.org/spreadsheetml/2006/main" count="5676" uniqueCount="3179">
  <si>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</si>
  <si>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</si>
  <si>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</si>
  <si>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</si>
  <si>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</si>
  <si>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</si>
  <si>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</si>
  <si>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</si>
  <si>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</si>
  <si>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</si>
  <si>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</si>
  <si>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</si>
  <si>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</si>
  <si>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</si>
  <si>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</si>
  <si>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</si>
  <si>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</si>
  <si>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</si>
  <si>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</si>
  <si>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</si>
  <si>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</si>
  <si>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</si>
  <si>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</si>
  <si>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</si>
  <si>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</si>
  <si>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</si>
  <si>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</si>
  <si>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</si>
  <si>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</si>
  <si>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</si>
  <si>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</si>
  <si>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</si>
  <si>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</si>
  <si>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</si>
  <si>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</si>
  <si>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</si>
  <si>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</si>
  <si>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</si>
  <si>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</si>
  <si>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</si>
  <si>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</si>
  <si>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</si>
  <si>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</si>
  <si>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</si>
  <si>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</si>
  <si>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</si>
  <si>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</si>
  <si>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</si>
  <si>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</si>
  <si>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</si>
  <si>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</si>
  <si>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</si>
  <si>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</si>
  <si>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</si>
  <si>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</si>
  <si>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</si>
  <si>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</si>
  <si>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</si>
  <si>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</si>
  <si>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</si>
  <si>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</si>
  <si>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</si>
  <si>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</si>
  <si>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</si>
  <si>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</si>
  <si>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</si>
  <si>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</si>
  <si>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</si>
  <si>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</si>
  <si>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</si>
  <si>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</si>
  <si>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</si>
  <si>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</si>
  <si>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</si>
  <si>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</si>
  <si>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</si>
  <si>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</si>
  <si>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</si>
  <si>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</si>
  <si>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</si>
  <si>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</si>
  <si>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</si>
  <si>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</si>
  <si>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</si>
  <si>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</si>
  <si>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</si>
  <si>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</si>
  <si>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</si>
  <si>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</si>
  <si>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</si>
  <si>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</si>
  <si>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</si>
  <si>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</si>
  <si>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</si>
  <si>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</si>
  <si>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</si>
  <si>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</si>
  <si>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</si>
  <si>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</si>
  <si>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</si>
  <si>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</si>
  <si>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</si>
  <si>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</si>
  <si>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</si>
  <si>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</si>
  <si>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</si>
  <si>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</si>
  <si>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</si>
  <si>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</si>
  <si>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</si>
  <si>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</si>
  <si>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</si>
  <si>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</si>
  <si>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</si>
  <si>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</si>
  <si>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</si>
  <si>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</si>
  <si>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</si>
  <si>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</si>
  <si>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</si>
  <si>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</si>
  <si>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</si>
  <si>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</si>
  <si>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</si>
  <si>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</si>
  <si>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</si>
  <si>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</si>
  <si>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</si>
  <si>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</si>
  <si>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</si>
  <si>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</si>
  <si>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</si>
  <si>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</si>
  <si>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</si>
  <si>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</si>
  <si>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</si>
  <si>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</si>
  <si>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</si>
  <si>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</si>
  <si>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</si>
  <si>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</si>
  <si>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</si>
  <si>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</si>
  <si>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</si>
  <si>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</si>
  <si>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</si>
  <si>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</si>
  <si>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</si>
  <si>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</si>
  <si>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</si>
  <si>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</si>
  <si>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</si>
  <si>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</si>
  <si>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</si>
  <si>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</si>
  <si>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</si>
  <si>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</si>
  <si>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</si>
  <si>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</si>
  <si>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</si>
  <si>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</si>
  <si>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</si>
  <si>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</si>
  <si>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</si>
  <si>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</si>
  <si>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</si>
  <si>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</si>
  <si>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</si>
  <si>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</si>
  <si>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</si>
  <si>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</si>
  <si>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</si>
  <si>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</si>
  <si>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</si>
  <si>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</si>
  <si>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</si>
  <si>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</si>
  <si>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</si>
  <si>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</si>
  <si>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</si>
  <si>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</si>
  <si>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</si>
  <si>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</si>
  <si>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</si>
  <si>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</si>
  <si>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</si>
  <si>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</si>
  <si>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</si>
  <si>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</si>
  <si>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</si>
  <si>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</si>
  <si>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</si>
  <si>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</si>
  <si>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</si>
  <si>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</si>
  <si>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</si>
  <si>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</si>
  <si>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</si>
  <si>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</si>
  <si>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</si>
  <si>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</si>
  <si>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</si>
  <si>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</si>
  <si>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</si>
  <si>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</si>
  <si>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</si>
  <si>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</si>
  <si>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</si>
  <si>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</si>
  <si>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</si>
  <si>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</si>
  <si>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</si>
  <si>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</si>
  <si>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</si>
  <si>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</si>
  <si>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</si>
  <si>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</si>
  <si>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</si>
  <si>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</si>
  <si>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</si>
  <si>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</si>
  <si>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</si>
  <si>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</si>
  <si>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</si>
  <si>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</si>
  <si>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</si>
  <si>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</si>
  <si>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</si>
  <si>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</si>
  <si>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</si>
  <si>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</si>
  <si>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</si>
  <si>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</si>
  <si>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</si>
  <si>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</si>
  <si>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</si>
  <si>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</si>
  <si>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</si>
  <si>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</si>
  <si>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</si>
  <si>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</si>
  <si>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</si>
  <si>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</si>
  <si>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</si>
  <si>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</si>
  <si>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</si>
  <si>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</si>
  <si>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</si>
  <si>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</si>
  <si>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</si>
  <si>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</si>
  <si>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</si>
  <si>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</si>
  <si>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</si>
  <si>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</si>
  <si>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</si>
  <si>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</si>
  <si>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</si>
  <si>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</si>
  <si>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</si>
  <si>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</si>
  <si>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</si>
  <si>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</si>
  <si>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</si>
  <si>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</si>
  <si>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</si>
  <si>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</si>
  <si>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</si>
  <si>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</si>
  <si>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</si>
  <si>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</si>
  <si>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</si>
  <si>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</si>
  <si>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</si>
  <si>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</si>
  <si>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</si>
  <si>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</si>
  <si>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</si>
  <si>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</si>
  <si>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</si>
  <si>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</si>
  <si>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</si>
  <si>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</si>
  <si>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</si>
  <si>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</si>
  <si>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</si>
  <si>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</si>
  <si>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</si>
  <si>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</si>
  <si>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</si>
  <si>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</si>
  <si>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</si>
  <si>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</si>
  <si>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</si>
  <si>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</si>
  <si>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</si>
  <si>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</si>
  <si>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</si>
  <si>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</si>
  <si>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</si>
  <si>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</si>
  <si>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</si>
  <si>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</si>
  <si>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</si>
  <si>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</si>
  <si>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</si>
  <si>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</si>
  <si>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</si>
  <si>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</si>
  <si>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</si>
  <si>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</si>
  <si>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</si>
  <si>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</si>
  <si>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</si>
  <si>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</si>
  <si>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</si>
  <si>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</si>
  <si>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</si>
  <si>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</si>
  <si>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</si>
  <si>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</si>
  <si>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</si>
  <si>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</si>
  <si>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</si>
  <si>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</si>
  <si>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</si>
  <si>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</si>
  <si>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</si>
  <si>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</si>
  <si>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</si>
  <si>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</si>
  <si>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</si>
  <si>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</si>
  <si>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</si>
  <si>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</si>
  <si>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</si>
  <si>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</si>
  <si>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</si>
  <si>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</si>
  <si>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</si>
  <si>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</si>
  <si>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</si>
  <si>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</si>
  <si>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</si>
  <si>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</si>
  <si>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</si>
  <si>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</si>
  <si>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</si>
  <si>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</si>
  <si>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</si>
  <si>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</si>
  <si>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</si>
  <si>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</si>
  <si>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</si>
  <si>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</si>
  <si>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</si>
  <si>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</si>
  <si>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</si>
  <si>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</si>
  <si>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</si>
  <si>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</si>
  <si>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</si>
  <si>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</si>
  <si>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</si>
  <si>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</si>
  <si>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</si>
  <si>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</si>
  <si>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</si>
  <si>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</si>
  <si>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</si>
  <si>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</si>
  <si>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</si>
  <si>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</si>
  <si>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</si>
  <si>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</si>
  <si>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</si>
  <si>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</si>
  <si>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</si>
  <si>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</si>
  <si>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</si>
  <si>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</si>
  <si>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</si>
  <si>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</si>
  <si>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</si>
  <si>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</si>
  <si>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</si>
  <si>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</si>
  <si>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</si>
  <si>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</si>
  <si>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</si>
  <si>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</si>
  <si>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</si>
  <si>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</si>
  <si>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</si>
  <si>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</si>
  <si>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</si>
  <si>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</si>
  <si>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</si>
  <si>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</si>
  <si>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</si>
  <si>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</si>
  <si>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</si>
  <si>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</si>
  <si>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</si>
  <si>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</si>
  <si>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</si>
  <si>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</si>
  <si>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</si>
  <si>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</si>
  <si>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</si>
  <si>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</si>
  <si>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</si>
  <si>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</si>
  <si>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</si>
  <si>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</si>
  <si>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</si>
  <si>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</si>
  <si>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</si>
  <si>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</si>
  <si>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</si>
  <si>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</si>
  <si>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</si>
  <si>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</si>
  <si>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</si>
  <si>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</si>
  <si>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</si>
  <si>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</si>
  <si>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</si>
  <si>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</si>
  <si>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</si>
  <si>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</si>
  <si>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</si>
  <si>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</si>
  <si>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</si>
  <si>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</si>
  <si>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</si>
  <si>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</si>
  <si>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</si>
  <si>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</si>
  <si>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</si>
  <si>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</si>
  <si>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</si>
  <si>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</si>
  <si>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</si>
  <si>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</si>
  <si>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</si>
  <si>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</si>
  <si>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</si>
  <si>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</si>
  <si>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</si>
  <si>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</si>
  <si>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</si>
  <si>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</si>
  <si>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</si>
  <si>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</si>
  <si>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</si>
  <si>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</si>
  <si>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</si>
  <si>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</si>
  <si>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</si>
  <si>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</si>
  <si>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</si>
  <si>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</si>
  <si>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</si>
  <si>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</si>
  <si>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</si>
  <si>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</si>
  <si>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</si>
  <si>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</si>
  <si>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</si>
  <si>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</si>
  <si>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</si>
  <si>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</si>
  <si>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</si>
  <si>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</si>
  <si>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</si>
  <si>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</si>
  <si>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</si>
  <si>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</si>
  <si>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</si>
  <si>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</si>
  <si>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</si>
  <si>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</si>
  <si>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</si>
  <si>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</si>
  <si>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</si>
  <si>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</si>
  <si>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</si>
  <si>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</si>
  <si>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</si>
  <si>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</si>
  <si>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</si>
  <si>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</si>
  <si>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</si>
  <si>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</si>
  <si>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</si>
  <si>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</si>
  <si>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</si>
  <si>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</si>
  <si>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</si>
  <si>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</si>
  <si>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</si>
  <si>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</si>
  <si>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</si>
  <si>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</si>
  <si>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</si>
  <si>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</si>
  <si>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</si>
  <si>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</si>
  <si>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</si>
  <si>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</si>
  <si>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</si>
  <si>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</si>
  <si>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</si>
  <si>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</si>
  <si>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</si>
  <si>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</si>
  <si>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</si>
  <si>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</si>
  <si>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</si>
  <si>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</si>
  <si>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</si>
  <si>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</si>
  <si>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</si>
  <si>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</si>
  <si>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</si>
  <si>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</si>
  <si>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</si>
  <si>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</si>
  <si>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</si>
  <si>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</si>
  <si>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</si>
  <si>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</si>
  <si>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</si>
  <si>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</si>
  <si>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</si>
  <si>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</si>
  <si>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</si>
  <si>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</si>
  <si>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</si>
  <si>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</si>
  <si>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</si>
  <si>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</si>
  <si>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</si>
  <si>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</si>
  <si>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</si>
  <si>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</si>
  <si>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</si>
  <si>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</si>
  <si>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</si>
  <si>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</si>
  <si>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</si>
  <si>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</si>
  <si>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</si>
  <si>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</si>
  <si>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</si>
  <si>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</si>
  <si>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</si>
  <si>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</si>
  <si>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</si>
  <si>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</si>
  <si>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</si>
  <si>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</si>
  <si>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</si>
  <si>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</si>
  <si>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</si>
  <si>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</si>
  <si>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</si>
  <si>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</si>
  <si>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</si>
  <si>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</si>
  <si>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</si>
  <si>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</si>
  <si>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</si>
  <si>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</si>
  <si>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</si>
  <si>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</si>
  <si>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</si>
  <si>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</si>
  <si>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</si>
  <si>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</si>
  <si>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</si>
  <si>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</si>
  <si>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</si>
  <si>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</si>
  <si>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</si>
  <si>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</si>
  <si>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</si>
  <si>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</si>
  <si>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</si>
  <si>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</si>
  <si>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</si>
  <si>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</si>
  <si>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</si>
  <si>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</si>
  <si>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</si>
  <si>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</si>
  <si>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</si>
  <si>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</si>
  <si>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</si>
  <si>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</si>
  <si>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</si>
  <si>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</si>
  <si>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</si>
  <si>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</si>
  <si>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</si>
  <si>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</si>
  <si>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</si>
  <si>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</si>
  <si>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</si>
  <si>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</si>
  <si>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</si>
  <si>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</si>
  <si>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</si>
  <si>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</si>
  <si>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</si>
  <si>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</si>
  <si>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</si>
  <si>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</si>
  <si>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</si>
  <si>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</si>
  <si>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</si>
  <si>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</si>
  <si>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</si>
  <si>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</si>
  <si>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</si>
  <si>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</si>
  <si>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</si>
  <si>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</si>
  <si>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</si>
  <si>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</si>
  <si>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</si>
  <si>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</si>
  <si>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</si>
  <si>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</si>
  <si>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</si>
  <si>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</si>
  <si>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</si>
  <si>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</si>
  <si>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</si>
  <si>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</si>
  <si>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</si>
  <si>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</si>
  <si>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</si>
  <si>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</si>
  <si>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</si>
  <si>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</si>
  <si>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</si>
  <si>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</si>
  <si>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</si>
  <si>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</si>
  <si>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</si>
  <si>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</si>
  <si>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</si>
  <si>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</si>
  <si>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</si>
  <si>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</si>
  <si>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</si>
  <si>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</si>
  <si>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</si>
  <si>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</si>
  <si>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</si>
  <si>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</si>
  <si>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</si>
  <si>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</si>
  <si>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</si>
  <si>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</si>
  <si>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</si>
  <si>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</si>
  <si>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</si>
  <si>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</si>
  <si>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</si>
  <si>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</si>
  <si>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</si>
  <si>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</si>
  <si>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</si>
  <si>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</si>
  <si>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</si>
  <si>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</si>
  <si>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</si>
  <si>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</si>
  <si>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</si>
  <si>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</si>
  <si>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</si>
  <si>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</si>
  <si>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</si>
  <si>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</si>
  <si>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</si>
  <si>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</si>
  <si>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</si>
  <si>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</si>
  <si>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</si>
  <si>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</si>
  <si>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</si>
  <si>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</si>
  <si>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</si>
  <si>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</si>
  <si>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</si>
  <si>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</si>
  <si>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</si>
  <si>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</si>
  <si>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</si>
  <si>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</si>
  <si>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</si>
  <si>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</si>
  <si>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</si>
  <si>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</si>
  <si>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</si>
  <si>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</si>
  <si>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</si>
  <si>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</si>
  <si>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</si>
  <si>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</si>
  <si>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</si>
  <si>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</si>
  <si>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</si>
  <si>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</si>
  <si>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</si>
  <si>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</si>
  <si>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</si>
  <si>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</si>
  <si>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</si>
  <si>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</si>
  <si>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</si>
  <si>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</si>
  <si>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</si>
  <si>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</si>
  <si>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</si>
  <si>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</si>
  <si>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</si>
  <si>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</si>
  <si>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</si>
  <si>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</si>
  <si>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</si>
  <si>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</si>
  <si>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</si>
  <si>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</si>
  <si>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</si>
  <si>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</si>
  <si>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</si>
  <si>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</si>
  <si>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</si>
  <si>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</si>
  <si>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</si>
  <si>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</si>
  <si>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</si>
  <si>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</si>
  <si>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</si>
  <si>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</si>
  <si>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</si>
  <si>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</si>
  <si>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</si>
  <si>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</si>
  <si>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</si>
  <si>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</si>
  <si>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</si>
  <si>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</si>
  <si>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</si>
  <si>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</si>
  <si>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</si>
  <si>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</si>
  <si>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</si>
  <si>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</si>
  <si>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</si>
  <si>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</si>
  <si>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</si>
  <si>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</si>
  <si>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</si>
  <si>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</si>
  <si>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</si>
  <si>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</si>
  <si>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</si>
  <si>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</si>
  <si>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</si>
  <si>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</si>
  <si>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</si>
  <si>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</si>
  <si>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</si>
  <si>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</si>
  <si>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</si>
  <si>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</si>
  <si>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</si>
  <si>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</si>
  <si>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</si>
  <si>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</si>
  <si>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</si>
  <si>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</si>
  <si>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</si>
  <si>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</si>
  <si>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</si>
  <si>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</si>
  <si>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</si>
  <si>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</si>
  <si>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</si>
  <si>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</si>
  <si>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</si>
  <si>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</si>
  <si>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</si>
  <si>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</si>
  <si>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</si>
  <si>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</si>
  <si>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</si>
  <si>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</si>
  <si>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</si>
  <si>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</si>
  <si>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</si>
  <si>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</si>
  <si>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</si>
  <si>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</si>
  <si>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</si>
  <si>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</si>
  <si>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</si>
  <si>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</si>
  <si>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</si>
  <si>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</si>
  <si>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</si>
  <si>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</si>
  <si>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</si>
  <si>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</si>
  <si>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</si>
  <si>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</si>
  <si>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</si>
  <si>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</si>
  <si>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</si>
  <si>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</si>
  <si>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</si>
  <si>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</si>
  <si>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</si>
  <si>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</si>
  <si>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</si>
  <si>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</si>
  <si>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</si>
  <si>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</si>
  <si>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</si>
  <si>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</si>
  <si>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</si>
  <si>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</si>
  <si>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</si>
  <si>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</si>
  <si>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</si>
  <si>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</si>
  <si>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</si>
  <si>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</si>
  <si>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</si>
  <si>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</si>
  <si>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</si>
  <si>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</si>
  <si>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</si>
  <si>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</si>
  <si>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</si>
  <si>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</si>
  <si>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</si>
  <si>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</si>
  <si>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</si>
  <si>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</si>
  <si>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</si>
  <si>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</si>
  <si>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</si>
  <si>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</si>
  <si>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</si>
  <si>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</si>
  <si>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</si>
  <si>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</si>
  <si>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</si>
  <si>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</si>
  <si>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</si>
  <si>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</si>
  <si>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</si>
  <si>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</si>
  <si>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</si>
  <si>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</si>
  <si>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</si>
  <si>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</si>
  <si>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</si>
  <si>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</si>
  <si>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</si>
  <si>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</si>
  <si>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</si>
  <si>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</si>
  <si>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</si>
  <si>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</si>
  <si>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</si>
  <si>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</si>
  <si>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</si>
  <si>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</si>
  <si>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</si>
  <si>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</si>
  <si>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</si>
  <si>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</si>
  <si>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</si>
  <si>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</si>
  <si>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</si>
  <si>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</si>
  <si>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</si>
  <si>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</si>
  <si>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</si>
  <si>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</si>
  <si>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</si>
  <si>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</si>
  <si>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</si>
  <si>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</si>
  <si>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</si>
  <si>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</si>
  <si>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</si>
  <si>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</si>
  <si>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</si>
  <si>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</si>
  <si>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</si>
  <si>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</si>
  <si>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</si>
  <si>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</si>
  <si>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</si>
  <si>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</si>
  <si>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</si>
  <si>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</si>
  <si>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</si>
  <si>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</si>
  <si>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</si>
  <si>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</si>
  <si>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</si>
  <si>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</si>
  <si>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</si>
  <si>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</si>
  <si>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</si>
  <si>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</si>
  <si>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</si>
  <si>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</si>
  <si>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</si>
  <si>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</si>
  <si>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</si>
  <si>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</si>
  <si>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</si>
  <si>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</si>
  <si>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</si>
  <si>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</si>
  <si>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</si>
  <si>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</si>
  <si>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</si>
  <si>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</si>
  <si>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</si>
  <si>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</si>
  <si>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</si>
  <si>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</si>
  <si>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</si>
  <si>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</si>
  <si>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</si>
  <si>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</si>
  <si>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</si>
  <si>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</si>
  <si>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</si>
  <si>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</si>
  <si>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</si>
  <si>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</si>
  <si>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</si>
  <si>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</si>
  <si>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</si>
  <si>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</si>
  <si>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</si>
  <si>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</si>
  <si>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</si>
  <si>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</si>
  <si>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</si>
  <si>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</si>
  <si>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</si>
  <si>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</si>
  <si>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</si>
  <si>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</si>
  <si>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</si>
  <si>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</si>
  <si>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</si>
  <si>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</si>
  <si>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</si>
  <si>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</si>
  <si>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</si>
  <si>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</si>
  <si>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</si>
  <si>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</si>
  <si>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</si>
  <si>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</si>
  <si>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</si>
  <si>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</si>
  <si>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</si>
  <si>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</si>
  <si>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</si>
  <si>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</si>
  <si>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</si>
  <si>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</si>
  <si>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</si>
  <si>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</si>
  <si>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</si>
  <si>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</si>
  <si>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</si>
  <si>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</si>
  <si>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</si>
  <si>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</si>
  <si>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</si>
  <si>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</si>
  <si>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</si>
  <si>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</si>
  <si>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</si>
  <si>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</si>
  <si>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</si>
  <si>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</si>
  <si>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</si>
  <si>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</si>
  <si>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</si>
  <si>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</si>
  <si>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</si>
  <si>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</si>
  <si>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</si>
  <si>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</si>
  <si>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</si>
  <si>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</si>
  <si>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</si>
  <si>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</si>
  <si>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</si>
  <si>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</si>
  <si>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</si>
  <si>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</si>
  <si>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</si>
  <si>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</si>
  <si>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</si>
  <si>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</si>
  <si>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</si>
  <si>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</si>
  <si>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</si>
  <si>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</si>
  <si>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</si>
  <si>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</si>
  <si>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</si>
  <si>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</si>
  <si>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</si>
  <si>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</si>
  <si>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</si>
  <si>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</si>
  <si>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</si>
  <si>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</si>
  <si>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</si>
  <si>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</si>
  <si>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</si>
  <si>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</si>
  <si>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</si>
  <si>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</si>
  <si>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</si>
  <si>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</si>
  <si>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</si>
  <si>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</si>
  <si>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</si>
  <si>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</si>
  <si>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</si>
  <si>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</si>
  <si>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</si>
  <si>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</si>
  <si>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</si>
  <si>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</si>
  <si>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</si>
  <si>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</si>
  <si>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</si>
  <si>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</si>
  <si>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</si>
  <si>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</si>
  <si>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</si>
  <si>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</si>
  <si>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</si>
  <si>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</si>
  <si>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</si>
  <si>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</si>
  <si>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</si>
  <si>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</si>
  <si>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</si>
  <si>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</si>
  <si>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</si>
  <si>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</si>
  <si>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</si>
  <si>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</si>
  <si>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</si>
  <si>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</si>
  <si>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</si>
  <si>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</si>
  <si>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</si>
  <si>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</si>
  <si>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</si>
  <si>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</si>
  <si>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</si>
  <si>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</si>
  <si>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</si>
  <si>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</si>
  <si>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</si>
  <si>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</si>
  <si>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</si>
  <si>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</si>
  <si>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</si>
  <si>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</si>
  <si>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</si>
  <si>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</si>
  <si>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</si>
  <si>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</si>
  <si>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</si>
  <si>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</si>
  <si>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</si>
  <si>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</si>
  <si>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</si>
  <si>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</si>
  <si>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</si>
  <si>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</si>
  <si>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</si>
  <si>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</si>
  <si>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</si>
  <si>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</si>
  <si>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</si>
  <si>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</si>
  <si>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</si>
  <si>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</si>
  <si>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</si>
  <si>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</si>
  <si>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</si>
  <si>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</si>
  <si>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</si>
  <si>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</si>
  <si>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</si>
  <si>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</si>
  <si>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</si>
  <si>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</si>
  <si>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</si>
  <si>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</si>
  <si>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</si>
  <si>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</si>
  <si>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</si>
  <si>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</si>
  <si>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</si>
  <si>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</si>
  <si>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</si>
  <si>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</si>
  <si>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</si>
  <si>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</si>
  <si>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</si>
  <si>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</si>
  <si>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</si>
  <si>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</si>
  <si>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</si>
  <si>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</si>
  <si>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</si>
  <si>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</si>
  <si>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</si>
  <si>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</si>
  <si>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</si>
  <si>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</si>
  <si>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</si>
  <si>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</si>
  <si>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</si>
  <si>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</si>
  <si>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</si>
  <si>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</si>
  <si>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</si>
  <si>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</si>
  <si>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</si>
  <si>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</si>
  <si>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</si>
  <si>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</si>
  <si>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</si>
  <si>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</si>
  <si>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</si>
  <si>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</si>
  <si>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</si>
  <si>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</si>
  <si>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</si>
  <si>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</si>
  <si>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</si>
  <si>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</si>
  <si>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</si>
  <si>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</si>
  <si>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</si>
  <si>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</si>
  <si>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</si>
  <si>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</si>
  <si>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</si>
  <si>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</si>
  <si>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</si>
  <si>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</si>
  <si>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</si>
  <si>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</si>
  <si>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</si>
  <si>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</si>
  <si>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</si>
  <si>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</si>
  <si>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</si>
  <si>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</si>
  <si>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</si>
  <si>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</si>
  <si>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</si>
  <si>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</si>
  <si>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</si>
  <si>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</si>
  <si>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</si>
  <si>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</si>
  <si>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</si>
  <si>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</si>
  <si>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</si>
  <si>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</si>
  <si>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</si>
  <si>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</si>
  <si>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</si>
  <si>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</si>
  <si>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</si>
  <si>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</si>
  <si>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</si>
  <si>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</si>
  <si>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</si>
  <si>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</si>
  <si>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</si>
  <si>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</si>
  <si>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</si>
  <si>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</si>
  <si>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</si>
  <si>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</si>
  <si>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</si>
  <si>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</si>
  <si>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</si>
  <si>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</si>
  <si>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</si>
  <si>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</si>
  <si>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</si>
  <si>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</si>
  <si>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</si>
  <si>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</si>
  <si>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</si>
  <si>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</si>
  <si>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</si>
  <si>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</si>
  <si>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</si>
  <si>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</si>
  <si>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</si>
  <si>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</si>
  <si>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</si>
  <si>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</si>
  <si>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</si>
  <si>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</si>
  <si>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</si>
  <si>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</si>
  <si>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</si>
  <si>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</si>
  <si>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</si>
  <si>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</si>
  <si>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</si>
  <si>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</si>
  <si>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</si>
  <si>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</si>
  <si>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</si>
  <si>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</si>
  <si>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</si>
  <si>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</si>
  <si>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</si>
  <si>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</si>
  <si>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</si>
  <si>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</si>
  <si>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</si>
  <si>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</si>
  <si>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</si>
  <si>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</si>
  <si>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</si>
  <si>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</si>
  <si>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</si>
  <si>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</si>
  <si>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</si>
  <si>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</si>
  <si>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</si>
  <si>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</si>
  <si>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</si>
  <si>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</si>
  <si>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</si>
  <si>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</si>
  <si>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</si>
  <si>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</si>
  <si>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</si>
  <si>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</si>
  <si>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</si>
  <si>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</si>
  <si>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</si>
  <si>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</si>
  <si>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</si>
  <si>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</si>
  <si>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</si>
  <si>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</si>
  <si>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</si>
  <si>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</si>
  <si>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</si>
  <si>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</si>
  <si>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</si>
  <si>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</si>
  <si>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</si>
  <si>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</si>
  <si>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</si>
  <si>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</si>
  <si>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</si>
  <si>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</si>
  <si>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</si>
  <si>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</si>
  <si>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</si>
  <si>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</si>
  <si>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</si>
  <si>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</si>
  <si>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</si>
  <si>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</si>
  <si>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</si>
  <si>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</si>
  <si>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</si>
  <si>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</si>
  <si>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</si>
  <si>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</si>
  <si>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</si>
  <si>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</si>
  <si>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</si>
  <si>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</si>
  <si>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</si>
  <si>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</si>
  <si>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</si>
  <si>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</si>
  <si>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</si>
  <si>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</si>
  <si>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</si>
  <si>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</si>
  <si>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</si>
  <si>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</si>
  <si>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</si>
  <si>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</si>
  <si>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</si>
  <si>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</si>
  <si>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</si>
  <si>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</si>
  <si>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</si>
  <si>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</si>
  <si>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</si>
  <si>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</si>
  <si>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</si>
  <si>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</si>
  <si>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</si>
  <si>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</si>
  <si>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</si>
  <si>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</si>
  <si>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</si>
  <si>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</si>
  <si>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</si>
  <si>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</si>
  <si>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</si>
  <si>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</si>
  <si>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</si>
  <si>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</si>
  <si>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</si>
  <si>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</si>
  <si>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</si>
  <si>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</si>
  <si>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</si>
  <si>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</si>
  <si>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</si>
  <si>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</si>
  <si>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</si>
  <si>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</si>
  <si>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</si>
  <si>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</si>
  <si>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</si>
  <si>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</si>
  <si>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</si>
  <si>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</si>
  <si>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</si>
  <si>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</si>
  <si>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</si>
  <si>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</si>
  <si>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</si>
  <si>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</si>
  <si>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</si>
  <si>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</si>
  <si>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</si>
  <si>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</si>
  <si>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</si>
  <si>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</si>
  <si>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</si>
  <si>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</si>
  <si>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</si>
  <si>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</si>
  <si>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</si>
  <si>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</si>
  <si>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</si>
  <si>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</si>
  <si>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</si>
  <si>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</si>
  <si>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</si>
  <si>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</si>
  <si>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</si>
  <si>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</si>
  <si>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</si>
  <si>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</si>
  <si>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</si>
  <si>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</si>
  <si>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</si>
  <si>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</si>
  <si>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</si>
  <si>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</si>
  <si>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</si>
  <si>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</si>
  <si>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</si>
  <si>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</si>
  <si>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</si>
  <si>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</si>
  <si>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</si>
  <si>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</si>
  <si>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</si>
  <si>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</si>
  <si>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</si>
  <si>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</si>
  <si>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</si>
  <si>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</si>
  <si>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</si>
  <si>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</si>
  <si>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</si>
  <si>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</si>
  <si>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</si>
  <si>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</si>
  <si>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</si>
  <si>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</si>
  <si>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</si>
  <si>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</si>
  <si>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</si>
  <si>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</si>
  <si>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</si>
  <si>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</si>
  <si>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</si>
  <si>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</si>
  <si>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</si>
  <si>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</si>
  <si>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</si>
  <si>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</si>
  <si>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</si>
  <si>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</si>
  <si>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</si>
  <si>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</si>
  <si>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</si>
  <si>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</si>
  <si>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</si>
  <si>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</si>
  <si>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</si>
  <si>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</si>
  <si>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</si>
  <si>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</si>
  <si>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</si>
  <si>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</si>
  <si>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</si>
  <si>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</si>
  <si>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</si>
  <si>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</si>
  <si>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</si>
  <si>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</si>
  <si>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</si>
  <si>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</si>
  <si>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</si>
  <si>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</si>
  <si>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</si>
  <si>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</si>
  <si>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</si>
  <si>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</si>
  <si>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</si>
  <si>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</si>
  <si>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</si>
  <si>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</si>
  <si>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</si>
  <si>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</si>
  <si>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</si>
  <si>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</si>
  <si>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</si>
  <si>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</si>
  <si>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</si>
  <si>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</si>
  <si>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</si>
  <si>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</si>
  <si>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</si>
  <si>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</si>
  <si>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</si>
  <si>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</si>
  <si>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</si>
  <si>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</si>
  <si>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</si>
  <si>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</si>
  <si>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</si>
  <si>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</si>
  <si>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</si>
  <si>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</si>
  <si>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</si>
  <si>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</si>
  <si>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</si>
  <si>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</si>
  <si>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</si>
  <si>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</si>
  <si>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</si>
  <si>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</si>
  <si>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</si>
  <si>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</si>
  <si>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</si>
  <si>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</si>
  <si>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</si>
  <si>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</si>
  <si>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</si>
  <si>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</si>
  <si>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</si>
  <si>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</si>
  <si>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</si>
  <si>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</si>
  <si>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</si>
  <si>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</si>
  <si>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</si>
  <si>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</si>
  <si>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</si>
  <si>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</si>
  <si>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</si>
  <si>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</si>
  <si>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</si>
  <si>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</si>
  <si>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</si>
  <si>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</si>
  <si>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</si>
  <si>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</si>
  <si>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</si>
  <si>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</si>
  <si>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</si>
  <si>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</si>
  <si>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</si>
  <si>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</si>
  <si>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</si>
  <si>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</si>
  <si>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</si>
  <si>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</si>
  <si>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</si>
  <si>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</si>
  <si>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</si>
  <si>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</si>
  <si>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</si>
  <si>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</si>
  <si>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</si>
  <si>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</si>
  <si>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</si>
  <si>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</si>
  <si>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</si>
  <si>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</si>
  <si>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</si>
  <si>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</si>
  <si>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</si>
  <si>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</si>
  <si>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</si>
  <si>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</si>
  <si>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</si>
  <si>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</si>
  <si>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</si>
  <si>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</si>
  <si>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</si>
  <si>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</si>
  <si>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</si>
  <si>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</si>
  <si>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</si>
  <si>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</si>
  <si>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</si>
  <si>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</si>
  <si>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</si>
  <si>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</si>
  <si>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</si>
  <si>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</si>
  <si>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</si>
  <si>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</si>
  <si>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</si>
  <si>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</si>
  <si>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</si>
  <si>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</si>
  <si>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</si>
  <si>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</si>
  <si>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</si>
  <si>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</si>
  <si>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</si>
  <si>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</si>
  <si>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</si>
  <si>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</si>
  <si>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</si>
  <si>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</si>
  <si>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</si>
  <si>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</si>
  <si>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</si>
  <si>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</si>
  <si>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</si>
  <si>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</si>
  <si>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</si>
  <si>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</si>
  <si>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</si>
  <si>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</si>
  <si>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</si>
  <si>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</si>
  <si>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</si>
  <si>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</si>
  <si>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</si>
  <si>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</si>
  <si>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</si>
  <si>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</si>
  <si>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</si>
  <si>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</si>
  <si>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</si>
  <si>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</si>
  <si>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</si>
  <si>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</si>
  <si>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</si>
  <si>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</si>
  <si>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</si>
  <si>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</si>
  <si>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</si>
  <si>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</si>
  <si>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</si>
  <si>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</si>
  <si>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</si>
  <si>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</si>
  <si>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</si>
  <si>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</si>
  <si>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</si>
  <si>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</si>
  <si>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</si>
  <si>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</si>
  <si>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</si>
  <si>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</si>
  <si>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</si>
  <si>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</si>
  <si>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</si>
  <si>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</si>
  <si>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</si>
  <si>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</si>
  <si>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</si>
  <si>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</si>
  <si>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</si>
  <si>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</si>
  <si>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</si>
  <si>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</si>
  <si>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</si>
  <si>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</si>
  <si>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</si>
  <si>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</si>
  <si>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</si>
  <si>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</si>
  <si>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</si>
  <si>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</si>
  <si>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</si>
  <si>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</si>
  <si>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</si>
  <si>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</si>
  <si>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</si>
  <si>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</si>
  <si>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</si>
  <si>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</si>
  <si>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</si>
  <si>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</si>
  <si>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</si>
  <si>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</si>
  <si>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</si>
  <si>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</si>
  <si>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</si>
  <si>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</si>
  <si>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</si>
  <si>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</si>
  <si>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</si>
  <si>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</si>
  <si>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</si>
  <si>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</si>
  <si>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</si>
  <si>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</si>
  <si>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</si>
  <si>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</si>
  <si>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</si>
  <si>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</si>
  <si>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</si>
  <si>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</si>
  <si>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</si>
  <si>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</si>
  <si>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</si>
  <si>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</si>
  <si>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</si>
  <si>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</si>
  <si>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</si>
  <si>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</si>
  <si>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</si>
  <si>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</si>
  <si>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</si>
  <si>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</si>
  <si>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</si>
  <si>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</si>
  <si>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</si>
  <si>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</si>
  <si>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</si>
  <si>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</si>
  <si>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</si>
  <si>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</si>
  <si>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</si>
  <si>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</si>
  <si>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</si>
  <si>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</si>
  <si>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</si>
  <si>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</si>
  <si>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</si>
  <si>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</si>
  <si>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</si>
  <si>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</si>
  <si>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</si>
  <si>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</si>
  <si>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</si>
  <si>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</si>
  <si>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</si>
  <si>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</si>
  <si>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</si>
  <si>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</si>
  <si>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</si>
  <si>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</si>
  <si>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</si>
  <si>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</si>
  <si>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</si>
  <si>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</si>
  <si>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</si>
  <si>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</si>
  <si>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</si>
  <si>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</si>
  <si>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</si>
  <si>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</si>
  <si>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</si>
  <si>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</si>
  <si>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</si>
  <si>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</si>
  <si>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</si>
  <si>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</si>
  <si>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</si>
  <si>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</si>
  <si>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</si>
  <si>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</si>
  <si>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</si>
  <si>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</si>
  <si>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</si>
  <si>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</si>
  <si>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</si>
  <si>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</si>
  <si>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</si>
  <si>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</si>
  <si>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</si>
  <si>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</si>
  <si>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</si>
  <si>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</si>
  <si>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</si>
  <si>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</si>
  <si>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</si>
  <si>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</si>
  <si>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</si>
  <si>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</si>
  <si>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</si>
  <si>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</si>
  <si>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</si>
  <si>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</si>
  <si>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</si>
  <si>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</si>
  <si>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</si>
  <si>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</si>
  <si>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</si>
  <si>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</si>
  <si>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</si>
  <si>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</si>
  <si>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</si>
  <si>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</si>
  <si>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</si>
  <si>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</si>
  <si>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</si>
  <si>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</si>
  <si>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</si>
  <si>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</si>
  <si>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</si>
  <si>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</si>
  <si>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</si>
  <si>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</si>
  <si>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</si>
  <si>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</si>
  <si>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</si>
  <si>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</si>
  <si>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</si>
  <si>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</si>
  <si>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</si>
  <si>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</si>
  <si>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</si>
  <si>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</si>
  <si>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</si>
  <si>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</si>
  <si>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</si>
  <si>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</si>
  <si>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</si>
  <si>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</si>
  <si>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</si>
  <si>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</si>
  <si>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</si>
  <si>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</si>
  <si>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</si>
  <si>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</si>
  <si>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</si>
  <si>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</si>
  <si>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</si>
  <si>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</si>
  <si>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</si>
  <si>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</si>
  <si>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</si>
  <si>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</si>
  <si>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</si>
  <si>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</si>
  <si>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</si>
  <si>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</si>
  <si>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</si>
  <si>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</si>
  <si>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</si>
  <si>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</si>
  <si>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</si>
  <si>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</si>
  <si>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</si>
  <si>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</si>
  <si>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</si>
  <si>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</si>
  <si>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</si>
  <si>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</si>
  <si>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</si>
  <si>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</si>
  <si>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</si>
  <si>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</si>
  <si>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</si>
  <si>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</si>
  <si>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</si>
  <si>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</si>
  <si>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</si>
  <si>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</si>
  <si>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</si>
  <si>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</si>
  <si>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</si>
  <si>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</si>
  <si>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</si>
  <si>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</si>
  <si>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</si>
  <si>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</si>
  <si>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</si>
  <si>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</si>
  <si>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</si>
  <si>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</si>
  <si>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</si>
  <si>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</si>
  <si>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</si>
  <si>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</si>
  <si>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</si>
  <si>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</si>
  <si>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</si>
  <si>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</si>
  <si>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</si>
  <si>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</si>
  <si>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</si>
  <si>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</si>
  <si>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</si>
  <si>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</si>
  <si>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</si>
  <si>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</si>
  <si>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</si>
  <si>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</si>
  <si>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</si>
  <si>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</si>
  <si>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</si>
  <si>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</si>
  <si>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</si>
  <si>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</si>
  <si>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</si>
  <si>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</si>
  <si>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</si>
  <si>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</si>
  <si>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</si>
  <si>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</si>
  <si>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</si>
  <si>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</si>
  <si>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</si>
  <si>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</si>
  <si>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</si>
  <si>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</si>
  <si>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</si>
  <si>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</si>
  <si>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</si>
  <si>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</si>
  <si>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</si>
  <si>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</si>
  <si>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</si>
  <si>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</si>
  <si>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</si>
  <si>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</si>
  <si>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</si>
  <si>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</si>
  <si>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</si>
  <si>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</si>
  <si>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</si>
  <si>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</si>
  <si>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</si>
  <si>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</si>
  <si>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</si>
  <si>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</si>
  <si>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</si>
  <si>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</si>
  <si>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</si>
  <si>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</si>
  <si>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</si>
  <si>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</si>
  <si>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</si>
  <si>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</si>
  <si>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</si>
  <si>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</si>
  <si>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</si>
  <si>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</si>
  <si>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</si>
  <si>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</si>
  <si>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</si>
  <si>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</si>
  <si>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</si>
  <si>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</si>
  <si>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</si>
  <si>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</si>
  <si>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</si>
  <si>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</si>
  <si>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</si>
  <si>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</si>
  <si>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</si>
  <si>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</si>
  <si>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</si>
  <si>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</si>
  <si>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</si>
  <si>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</si>
  <si>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</si>
  <si>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</si>
  <si>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</si>
  <si>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</si>
  <si>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</si>
  <si>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</si>
  <si>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</si>
  <si>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</si>
  <si>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</si>
  <si>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</si>
  <si>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</si>
  <si>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</si>
  <si>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</si>
  <si>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</si>
  <si>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</si>
  <si>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</si>
  <si>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</si>
  <si>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</si>
  <si>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</si>
  <si>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</si>
  <si>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</si>
  <si>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</si>
  <si>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</si>
  <si>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</si>
  <si>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</si>
  <si>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</si>
  <si>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</si>
  <si>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</si>
  <si>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</si>
  <si>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</si>
  <si>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</si>
  <si>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</si>
  <si>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</si>
  <si>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</si>
  <si>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</si>
  <si>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</si>
  <si>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</si>
  <si>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</si>
  <si>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</si>
  <si>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</si>
  <si>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</si>
  <si>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</si>
  <si>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</si>
  <si>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</si>
  <si>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</si>
  <si>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</si>
  <si>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</si>
  <si>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</si>
  <si>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</si>
  <si>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</si>
  <si>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</si>
  <si>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</si>
  <si>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</si>
  <si>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</si>
  <si>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</si>
  <si>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</si>
  <si>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</si>
  <si>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</si>
  <si>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</si>
  <si>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</si>
  <si>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</si>
  <si>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</si>
  <si>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</si>
  <si>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</si>
  <si>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</si>
  <si>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</si>
  <si>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</si>
  <si>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</si>
  <si>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</si>
  <si>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</si>
  <si>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</si>
  <si>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</si>
  <si>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</si>
  <si>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</si>
  <si>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</si>
  <si>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</si>
  <si>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</si>
  <si>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</si>
  <si>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</si>
  <si>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</si>
  <si>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</si>
  <si>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</si>
  <si>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</si>
  <si>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</si>
  <si>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</si>
  <si>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</si>
  <si>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</si>
  <si>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</si>
  <si>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</si>
  <si>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</si>
  <si>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</si>
  <si>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</si>
  <si>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</si>
  <si>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</si>
  <si>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</si>
  <si>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</si>
  <si>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</si>
  <si>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</si>
  <si>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</si>
  <si>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</si>
  <si>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</si>
  <si>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</si>
  <si>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</si>
  <si>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</si>
  <si>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</si>
  <si>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</si>
  <si>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</si>
  <si>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</si>
  <si>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</si>
  <si>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</si>
  <si>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</si>
  <si>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</si>
  <si>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</si>
  <si>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</si>
  <si>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</si>
  <si>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</si>
  <si>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</si>
  <si>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</si>
  <si>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</si>
  <si>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</si>
  <si>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</si>
  <si>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</si>
  <si>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</si>
  <si>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</si>
  <si>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</si>
  <si>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</si>
  <si>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</si>
  <si>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</si>
  <si>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</si>
  <si>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</si>
  <si>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</si>
  <si>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</si>
  <si>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</si>
  <si>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</si>
  <si>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</si>
  <si>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</si>
  <si>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</si>
  <si>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</si>
  <si>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</si>
  <si>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</si>
  <si>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</si>
  <si>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</si>
  <si>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</si>
  <si>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</si>
  <si>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</si>
  <si>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</si>
  <si>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</si>
  <si>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</si>
  <si>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</si>
  <si>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</si>
  <si>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</si>
  <si>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</si>
  <si>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</si>
  <si>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</si>
  <si>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</si>
  <si>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</si>
  <si>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</si>
  <si>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</si>
  <si>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</si>
  <si>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</si>
  <si>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</si>
  <si>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</si>
  <si>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</si>
  <si>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</si>
  <si>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</si>
  <si>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</si>
  <si>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</si>
  <si>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</si>
  <si>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</si>
  <si>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</si>
  <si>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</si>
  <si>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</si>
  <si>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</si>
  <si>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</si>
  <si>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</si>
  <si>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</si>
  <si>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</si>
  <si>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</si>
  <si>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</si>
  <si>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</si>
  <si>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</si>
  <si>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</si>
  <si>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</si>
  <si>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</si>
  <si>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</si>
  <si>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</si>
  <si>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</si>
  <si>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</si>
  <si>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</si>
  <si>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</si>
  <si>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</si>
  <si>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</si>
  <si>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</si>
  <si>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</si>
  <si>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</si>
  <si>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</si>
  <si>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</si>
  <si>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</si>
  <si>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</si>
  <si>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</si>
  <si>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</si>
  <si>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</si>
  <si>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</si>
  <si>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</si>
  <si>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</si>
  <si>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</si>
  <si>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</si>
  <si>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</si>
  <si>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</si>
  <si>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</si>
  <si>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</si>
  <si>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</si>
  <si>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</si>
  <si>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</si>
  <si>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</si>
  <si>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</si>
  <si>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</si>
  <si>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</si>
  <si>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</si>
  <si>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</si>
  <si>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</si>
  <si>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</si>
  <si>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</si>
  <si>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</si>
  <si>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</si>
  <si>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</si>
  <si>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</si>
  <si>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</si>
  <si>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</si>
  <si>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</si>
  <si>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</si>
  <si>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</si>
  <si>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</si>
  <si>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</si>
  <si>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</si>
  <si>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</si>
  <si>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</si>
  <si>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</si>
  <si>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</si>
  <si>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</si>
  <si>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</si>
  <si>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</si>
  <si>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</si>
  <si>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</si>
  <si>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</si>
  <si>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</si>
  <si>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</si>
  <si>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</si>
  <si>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</si>
  <si>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</si>
  <si>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</si>
  <si>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</si>
  <si>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</si>
  <si>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</si>
  <si>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</si>
  <si>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</si>
  <si>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</si>
  <si>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</si>
  <si>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</si>
  <si>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</si>
  <si>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</si>
  <si>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</si>
  <si>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</si>
  <si>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</si>
  <si>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</si>
  <si>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</si>
  <si>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</si>
  <si>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</si>
  <si>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</si>
  <si>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</si>
  <si>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</si>
  <si>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</si>
  <si>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</si>
  <si>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</si>
  <si>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</si>
  <si>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</si>
  <si>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</si>
  <si>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</si>
  <si>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</si>
  <si>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</si>
  <si>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</si>
  <si>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</si>
  <si>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</si>
  <si>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</si>
  <si>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</si>
  <si>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</si>
  <si>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</si>
  <si>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</si>
  <si>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</si>
  <si>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</si>
  <si>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</si>
  <si>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</si>
  <si>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</si>
  <si>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</si>
  <si>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</si>
  <si>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</si>
  <si>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</si>
  <si>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</si>
  <si>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</si>
  <si>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</si>
  <si>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</si>
  <si>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</si>
  <si>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</si>
  <si>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</si>
  <si>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</si>
  <si>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</si>
  <si>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</si>
  <si>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</si>
  <si>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</si>
  <si>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</si>
  <si>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</si>
  <si>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</si>
  <si>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</si>
  <si>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</si>
  <si>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</si>
  <si>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</si>
  <si>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</si>
  <si>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</si>
  <si>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</si>
  <si>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</si>
  <si>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</si>
  <si>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</si>
  <si>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</si>
  <si>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</si>
  <si>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</si>
  <si>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</si>
  <si>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</si>
  <si>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</si>
  <si>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</si>
  <si>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</si>
  <si>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</si>
  <si>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</si>
  <si>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</si>
  <si>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</si>
  <si>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</si>
  <si>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</si>
  <si>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</si>
  <si>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</si>
  <si>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</si>
  <si>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</si>
  <si>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</si>
  <si>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</si>
  <si>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</si>
  <si>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</si>
  <si>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</si>
  <si>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</si>
  <si>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</si>
  <si>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</si>
  <si>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</si>
  <si>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</si>
  <si>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</si>
  <si>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</si>
  <si>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</si>
  <si>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</si>
  <si>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</si>
  <si>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</si>
  <si>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</si>
  <si>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</si>
  <si>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</si>
  <si>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</si>
  <si>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</si>
  <si>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</si>
  <si>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</si>
  <si>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</si>
  <si>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</si>
  <si>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</si>
  <si>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</si>
  <si>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</si>
  <si>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</si>
  <si>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</si>
  <si>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</si>
  <si>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</si>
  <si>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</si>
  <si>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</si>
  <si>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</si>
  <si>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</si>
  <si>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</si>
  <si>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</si>
  <si>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</si>
  <si>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</si>
  <si>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</si>
  <si>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</si>
  <si>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</si>
  <si>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</si>
  <si>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</si>
  <si>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</si>
  <si>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</si>
  <si>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</si>
  <si>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</si>
  <si>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</si>
  <si>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</si>
  <si>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</si>
  <si>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</si>
  <si>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</si>
  <si>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</si>
  <si>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</si>
  <si>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</si>
  <si>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</si>
  <si>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</si>
  <si>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</si>
  <si>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</si>
  <si>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</si>
  <si>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</si>
  <si>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</si>
  <si>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</si>
  <si>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</si>
  <si>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</si>
  <si>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</si>
  <si>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</si>
  <si>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</si>
  <si>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</si>
  <si>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</si>
  <si>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</si>
  <si>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</si>
  <si>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</si>
  <si>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</si>
  <si>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</si>
  <si>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</si>
  <si>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</si>
  <si>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</si>
  <si>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</si>
  <si>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</si>
  <si>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</si>
  <si>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</si>
  <si>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</si>
  <si>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</si>
  <si>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</si>
  <si>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</si>
  <si>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</si>
  <si>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</si>
  <si>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</si>
  <si>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</si>
  <si>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</si>
  <si>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</si>
  <si>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</si>
  <si>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</si>
  <si>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</si>
  <si>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</si>
  <si>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</si>
  <si>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</si>
  <si>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</si>
  <si>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</si>
  <si>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</si>
  <si>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</si>
  <si>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</si>
  <si>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</si>
  <si>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</si>
  <si>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</si>
  <si>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</si>
  <si>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</si>
  <si>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</si>
  <si>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</si>
  <si>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</si>
  <si>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</si>
  <si>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</si>
  <si>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</si>
  <si>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</si>
  <si>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</si>
  <si>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</si>
  <si>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</si>
  <si>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</si>
  <si>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</si>
  <si>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</si>
  <si>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</si>
  <si>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</si>
  <si>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</si>
  <si>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</si>
  <si>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</si>
  <si>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</si>
  <si>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</si>
  <si>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</si>
  <si>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</si>
  <si>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</si>
  <si>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</si>
  <si>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</si>
  <si>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</si>
  <si>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</si>
  <si>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</si>
  <si>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</si>
  <si>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</si>
  <si>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</si>
  <si>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</si>
  <si>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</si>
  <si>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</si>
  <si>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</si>
  <si>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</si>
  <si>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</si>
  <si>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</si>
  <si>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</si>
  <si>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</si>
  <si>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</si>
  <si>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</si>
  <si>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</si>
  <si>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</si>
  <si>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</si>
  <si>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</si>
  <si>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</si>
  <si>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</si>
  <si>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</si>
  <si>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</si>
  <si>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</si>
  <si>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</si>
  <si>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</si>
  <si>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</si>
  <si>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</si>
  <si>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</si>
  <si>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</si>
  <si>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</si>
  <si>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</si>
  <si>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</si>
  <si>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</si>
  <si>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</si>
  <si>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</si>
  <si>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</si>
  <si>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</si>
  <si>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</si>
  <si>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</si>
  <si>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</si>
  <si>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</si>
  <si>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</si>
  <si>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</si>
  <si>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</si>
  <si>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</si>
  <si>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</si>
  <si>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</si>
  <si>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</si>
  <si>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</si>
  <si>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</si>
  <si>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</si>
  <si>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</si>
  <si>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</si>
  <si>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</si>
  <si>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</si>
  <si>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</si>
  <si>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</si>
  <si>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</si>
  <si>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</si>
  <si>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</si>
  <si>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</si>
  <si>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</si>
  <si>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</si>
  <si>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</si>
  <si>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</si>
  <si>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</si>
  <si>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</si>
  <si>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</si>
  <si>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</si>
  <si>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</si>
  <si>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</si>
  <si>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</si>
  <si>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</si>
  <si>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</si>
  <si>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</si>
  <si>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</si>
  <si>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</si>
  <si>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</si>
  <si>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</si>
  <si>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</si>
  <si>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</si>
  <si>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</si>
  <si>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</si>
  <si>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</si>
  <si>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</si>
  <si>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</si>
  <si>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</si>
  <si>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</si>
  <si>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</si>
  <si>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</si>
  <si>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</si>
  <si>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</si>
  <si>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</si>
  <si>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</si>
  <si>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</si>
  <si>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</si>
  <si>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</si>
  <si>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</si>
  <si>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</si>
  <si>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</si>
  <si>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</si>
  <si>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</si>
  <si>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</si>
  <si>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</si>
  <si>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</si>
  <si>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</si>
  <si>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</si>
  <si>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</si>
  <si>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</si>
  <si>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</si>
  <si>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</si>
  <si>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</si>
  <si>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</si>
  <si>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</si>
  <si>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</si>
  <si>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</si>
  <si>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</si>
  <si>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</si>
  <si>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</si>
  <si>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</si>
  <si>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</si>
  <si>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</si>
  <si>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</si>
  <si>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</si>
  <si>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</si>
  <si>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</si>
  <si>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</si>
  <si>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</si>
  <si>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</si>
  <si>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</si>
  <si>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</si>
  <si>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</si>
  <si>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</si>
  <si>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</si>
  <si>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</si>
  <si>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</si>
  <si>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</si>
  <si>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</si>
  <si>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</si>
  <si>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</si>
  <si>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</si>
  <si>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</si>
  <si>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</si>
  <si>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</si>
  <si>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</si>
  <si>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</si>
  <si>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</si>
  <si>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</si>
  <si>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</si>
  <si>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</si>
  <si>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</si>
  <si>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</si>
  <si>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</si>
  <si>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</si>
  <si>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</si>
  <si>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</si>
  <si>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</si>
  <si>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</si>
  <si>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</si>
  <si>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</si>
  <si>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</si>
  <si>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</si>
  <si>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</si>
  <si>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</si>
  <si>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</si>
  <si>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</si>
  <si>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</si>
  <si>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</si>
  <si>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</si>
  <si>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</si>
  <si>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</si>
  <si>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</si>
  <si>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</si>
  <si>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</si>
  <si>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</si>
  <si>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</si>
  <si>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</si>
  <si>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</si>
  <si>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</si>
  <si>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</si>
  <si>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</si>
  <si>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</si>
  <si>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</si>
  <si>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</si>
  <si>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</si>
  <si>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</si>
  <si>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</si>
  <si>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</si>
  <si>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</si>
  <si>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</si>
  <si>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</si>
  <si>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</si>
  <si>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</si>
  <si>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</si>
  <si>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</si>
  <si>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</si>
  <si>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</si>
  <si>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</si>
  <si>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</si>
  <si>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</si>
  <si>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</si>
  <si>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</si>
  <si>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</si>
  <si>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</si>
  <si>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</si>
  <si>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</si>
  <si>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</si>
  <si>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</si>
  <si>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</si>
  <si>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</si>
  <si>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</si>
  <si>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</si>
  <si>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</si>
  <si>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</si>
  <si>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</si>
  <si>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</si>
  <si>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</si>
  <si>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</si>
  <si>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</si>
  <si>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</si>
  <si>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</si>
  <si>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</si>
  <si>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</si>
  <si>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</si>
  <si>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</si>
  <si>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</si>
  <si>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</si>
  <si>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</si>
  <si>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</si>
  <si>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</si>
  <si>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</si>
  <si>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</si>
  <si>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</si>
  <si>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</si>
  <si>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</si>
  <si>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</si>
  <si>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</si>
  <si>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</si>
  <si>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</si>
  <si>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</si>
  <si>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</si>
  <si>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</si>
  <si>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</si>
  <si>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</si>
  <si>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</si>
  <si>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</si>
  <si>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</si>
  <si>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</si>
  <si>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</si>
  <si>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</si>
  <si>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</si>
  <si>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</si>
  <si>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</si>
  <si>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</si>
  <si>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</si>
  <si>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</si>
  <si>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</si>
  <si>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</si>
  <si>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</si>
  <si>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</si>
  <si>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</si>
  <si>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</si>
  <si>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</si>
  <si>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</si>
  <si>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</si>
  <si>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</si>
  <si>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</si>
  <si>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</si>
  <si>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</si>
  <si>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</si>
  <si>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</si>
  <si>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</si>
  <si>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</si>
  <si>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</si>
  <si>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</si>
  <si>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</si>
  <si>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</si>
  <si>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</si>
  <si>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</si>
  <si>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</si>
  <si>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</si>
  <si>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</si>
  <si>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</si>
  <si>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</si>
  <si>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</si>
  <si>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</si>
  <si>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</si>
  <si>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</si>
  <si>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</si>
  <si>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</si>
  <si>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</si>
  <si>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</si>
  <si>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</si>
  <si>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</si>
  <si>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</si>
  <si>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</si>
  <si>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</si>
  <si>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</si>
  <si>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</si>
  <si>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</si>
  <si>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</si>
  <si>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</si>
  <si>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</si>
  <si>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</si>
  <si>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</si>
  <si>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</si>
  <si>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</si>
  <si>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</si>
  <si>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</si>
  <si>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</si>
  <si>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</si>
  <si>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</si>
  <si>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</si>
  <si>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</si>
  <si>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</si>
  <si>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</si>
  <si>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</si>
  <si>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</si>
  <si>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</si>
  <si>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</si>
  <si>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</si>
  <si>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</si>
  <si>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</si>
  <si>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</si>
  <si>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</si>
  <si>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</si>
  <si>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</si>
  <si>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</si>
  <si>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</si>
  <si>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</si>
  <si>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</si>
  <si>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</si>
  <si>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</si>
  <si>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</si>
  <si>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</si>
  <si>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</si>
  <si>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</si>
  <si>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</si>
  <si>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</si>
  <si>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</si>
  <si>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</si>
  <si>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</si>
  <si>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</si>
  <si>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</si>
  <si>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</si>
  <si>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</si>
  <si>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</si>
  <si>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</si>
  <si>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</si>
  <si>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</si>
  <si>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</si>
  <si>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</si>
  <si>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</si>
  <si>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</si>
  <si>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</si>
  <si>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</si>
  <si>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</si>
  <si>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</si>
  <si>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</si>
  <si>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</si>
  <si>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</si>
  <si>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</si>
  <si>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</si>
  <si>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</si>
  <si>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</si>
  <si>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</si>
  <si>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</si>
  <si>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</si>
  <si>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</si>
  <si>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</si>
  <si>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</si>
  <si>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</si>
  <si>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</si>
  <si>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</si>
  <si>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</si>
  <si>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</si>
  <si>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</si>
  <si>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</si>
  <si>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</si>
  <si>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</si>
  <si>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</si>
  <si>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</si>
  <si>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</si>
  <si>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</si>
  <si>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</si>
  <si>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</si>
  <si>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</si>
  <si>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</si>
  <si>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</si>
  <si>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</si>
  <si>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</si>
  <si>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</si>
  <si>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</si>
  <si>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</si>
  <si>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</si>
  <si>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</si>
  <si>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</si>
  <si>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</si>
  <si>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</si>
  <si>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</si>
  <si>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</si>
  <si>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</si>
  <si>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</si>
  <si>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</si>
  <si>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</si>
  <si>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</si>
  <si>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</si>
  <si>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</si>
  <si>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</si>
  <si>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</si>
  <si>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</si>
  <si>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</si>
  <si>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</si>
  <si>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</si>
  <si>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</si>
  <si>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</si>
  <si>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</si>
  <si>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</si>
  <si>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</si>
  <si>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</si>
  <si>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</si>
  <si>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</si>
  <si>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</si>
  <si>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</si>
  <si>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</si>
  <si>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</si>
  <si>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</si>
  <si>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</si>
  <si>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</si>
  <si>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</si>
  <si>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</si>
  <si>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</si>
  <si>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</si>
  <si>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</si>
  <si>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</si>
  <si>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</si>
  <si>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</si>
  <si>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</si>
  <si>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</si>
  <si>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</si>
  <si>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</si>
  <si>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</si>
  <si>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</si>
  <si>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</si>
  <si>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</si>
  <si>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</si>
  <si>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</si>
  <si>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</si>
  <si>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</si>
  <si>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</si>
  <si>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</si>
  <si>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</si>
  <si>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</si>
  <si>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</si>
  <si>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</si>
  <si>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</si>
  <si>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</si>
  <si>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</si>
  <si>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</si>
  <si>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</si>
  <si>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</si>
  <si>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</si>
  <si>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</si>
  <si>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</si>
  <si>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</si>
  <si>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</si>
  <si>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</si>
  <si>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</si>
  <si>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</si>
  <si>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</si>
  <si>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</si>
  <si>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</si>
  <si>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</si>
  <si>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</si>
  <si>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</si>
  <si>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</si>
  <si>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</si>
  <si>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</si>
  <si>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</si>
  <si>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</si>
  <si>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</si>
  <si>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</si>
  <si>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</si>
  <si>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</si>
  <si>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</si>
  <si>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</si>
  <si>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</si>
  <si>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</si>
  <si>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</si>
  <si>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</si>
  <si>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</si>
  <si>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</si>
  <si>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</si>
  <si>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</si>
  <si>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</si>
  <si>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</si>
  <si>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</si>
  <si>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</si>
  <si>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</si>
  <si>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</si>
  <si>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</si>
  <si>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</si>
  <si>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</si>
  <si>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</si>
  <si>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</si>
  <si>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</si>
  <si>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</si>
  <si>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</si>
  <si>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</si>
  <si>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</si>
  <si>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</si>
  <si>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</si>
  <si>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</si>
  <si>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</si>
  <si>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</si>
  <si>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</si>
  <si>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</si>
  <si>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</si>
  <si>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</si>
  <si>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</si>
  <si>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</si>
  <si>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</si>
  <si>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</si>
  <si>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</si>
  <si>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</si>
  <si>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</si>
  <si>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</si>
  <si>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</si>
  <si>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</si>
  <si>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</si>
  <si>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</si>
  <si>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</si>
  <si>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</si>
  <si>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</si>
  <si>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</si>
  <si>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</si>
  <si>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</si>
  <si>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</si>
  <si>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</si>
  <si>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</si>
  <si>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</si>
  <si>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</si>
  <si>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</si>
  <si>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</si>
  <si>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</si>
  <si>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</si>
  <si>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</si>
  <si>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</si>
  <si>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</si>
  <si>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</si>
  <si>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</si>
  <si>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</si>
  <si>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</si>
  <si>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</si>
  <si>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</si>
  <si>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</si>
  <si>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</si>
  <si>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</si>
  <si>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</si>
  <si>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</si>
  <si>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</si>
  <si>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</si>
  <si>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</si>
  <si>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</si>
  <si>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</si>
  <si>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</si>
  <si>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</si>
  <si>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</si>
  <si>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</si>
  <si>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</si>
  <si>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</si>
  <si>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</si>
  <si>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</si>
  <si>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</si>
  <si>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</si>
  <si>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</si>
  <si>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</si>
  <si>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</si>
  <si>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</si>
  <si>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</si>
  <si>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</si>
  <si>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</si>
  <si>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</si>
  <si>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</si>
  <si>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</si>
  <si>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</si>
  <si>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</si>
  <si>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</si>
  <si>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</si>
  <si>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</si>
  <si>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</si>
  <si>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</si>
  <si>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</si>
  <si>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</si>
  <si>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</si>
  <si>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</si>
  <si>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</si>
  <si>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</si>
  <si>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</si>
  <si>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</si>
  <si>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</si>
  <si>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</si>
  <si>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</si>
  <si>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</si>
  <si>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</si>
  <si>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</si>
  <si>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</si>
  <si>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</si>
  <si>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</si>
  <si>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</si>
  <si>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</si>
  <si>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</si>
  <si>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</si>
  <si>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</si>
  <si>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</si>
  <si>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</si>
  <si>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</si>
  <si>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</si>
  <si>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</si>
  <si>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</si>
  <si>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</si>
  <si>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</si>
  <si>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</si>
  <si>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</si>
  <si>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</si>
  <si>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</si>
  <si>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</si>
  <si>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</si>
  <si>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</si>
  <si>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</si>
  <si>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</si>
  <si>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</si>
  <si>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</si>
  <si>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</si>
  <si>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</si>
  <si>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</si>
  <si>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</si>
  <si>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</si>
  <si>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</si>
  <si>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</si>
  <si>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</si>
  <si>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</si>
  <si>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</si>
  <si>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</si>
  <si>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</si>
  <si>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</si>
  <si>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</si>
  <si>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</si>
  <si>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</si>
  <si>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</si>
  <si>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</si>
  <si>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</si>
  <si>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</si>
  <si>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</si>
  <si>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</si>
  <si>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</si>
  <si>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</si>
  <si>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</si>
  <si>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</si>
  <si>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</si>
  <si>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</si>
  <si>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</si>
  <si>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</si>
  <si>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</si>
  <si>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</si>
  <si>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</si>
  <si>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</si>
  <si>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</si>
  <si>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</si>
  <si>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</si>
  <si>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</si>
  <si>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</si>
  <si>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</si>
  <si>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</si>
  <si>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</si>
  <si>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</si>
  <si>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</si>
  <si>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</si>
  <si>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</si>
  <si>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</si>
  <si>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</si>
  <si>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</si>
  <si>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</si>
  <si>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</si>
  <si>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</si>
  <si>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</si>
  <si>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</si>
  <si>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</si>
  <si>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</si>
  <si>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</si>
  <si>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</si>
  <si>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</si>
  <si>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</si>
  <si>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</si>
  <si>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</si>
  <si>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</si>
  <si>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</si>
  <si>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</si>
  <si>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</si>
  <si>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</si>
  <si>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</si>
  <si>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</si>
  <si>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</si>
  <si>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</si>
  <si>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</si>
  <si>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</si>
  <si>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</si>
  <si>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</si>
  <si>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</si>
  <si>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</si>
  <si>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</si>
  <si>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</si>
  <si>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</si>
  <si>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</si>
  <si>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</si>
  <si>
    <t>开启</t>
    <phoneticPr fontId="35" type="noConversion"/>
  </si>
  <si>
    <t>65级后</t>
    <phoneticPr fontId="35" type="noConversion"/>
  </si>
  <si>
    <t>掉落方式</t>
    <phoneticPr fontId="35" type="noConversion"/>
  </si>
  <si>
    <t xml:space="preserve">每天掉落 </t>
    <phoneticPr fontId="35" type="noConversion"/>
  </si>
  <si>
    <t>后期BOSS掉材料</t>
    <phoneticPr fontId="35" type="noConversion"/>
  </si>
  <si>
    <t>魔能装备野外BOSS掉落</t>
    <phoneticPr fontId="35" type="noConversion"/>
  </si>
  <si>
    <t>升级</t>
    <phoneticPr fontId="35" type="noConversion"/>
  </si>
  <si>
    <t>合成</t>
    <phoneticPr fontId="35" type="noConversion"/>
  </si>
  <si>
    <t>宠物突破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</si>
  <si>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</si>
  <si>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</si>
  <si>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</si>
  <si>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</si>
  <si>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生命</t>
    <phoneticPr fontId="35" type="noConversion"/>
  </si>
  <si>
    <t>生命百分比</t>
    <phoneticPr fontId="35" type="noConversion"/>
  </si>
  <si>
    <t>基础材料</t>
    <phoneticPr fontId="35" type="noConversion"/>
  </si>
  <si>
    <t>宠灵之尘</t>
    <phoneticPr fontId="35" type="noConversion"/>
  </si>
  <si>
    <t>宠之冰核</t>
    <phoneticPr fontId="36" type="noConversion"/>
  </si>
  <si>
    <t>宠之印记</t>
    <phoneticPr fontId="36" type="noConversion"/>
  </si>
  <si>
    <t>宠物之核碎片</t>
    <phoneticPr fontId="36" type="noConversion"/>
  </si>
  <si>
    <t>1级</t>
    <phoneticPr fontId="35" type="noConversion"/>
  </si>
  <si>
    <t>2级</t>
  </si>
  <si>
    <t>3级</t>
  </si>
  <si>
    <t>4级</t>
  </si>
  <si>
    <t>5级</t>
  </si>
  <si>
    <t>6级</t>
  </si>
  <si>
    <t>7级</t>
  </si>
  <si>
    <t>8级</t>
  </si>
  <si>
    <t>9级</t>
  </si>
  <si>
    <t>金币</t>
    <phoneticPr fontId="35" type="noConversion"/>
  </si>
  <si>
    <t>11级</t>
  </si>
  <si>
    <t>12级</t>
  </si>
  <si>
    <t>13级</t>
  </si>
  <si>
    <t>14级</t>
  </si>
  <si>
    <t>15级</t>
  </si>
  <si>
    <t>16级</t>
  </si>
  <si>
    <t>17级</t>
  </si>
  <si>
    <t>19级</t>
  </si>
  <si>
    <t>130103;50</t>
    <phoneticPr fontId="35" type="noConversion"/>
  </si>
  <si>
    <t>宠物全体对怪伤害</t>
  </si>
  <si>
    <t>魔法百分比</t>
    <phoneticPr fontId="35" type="noConversion"/>
  </si>
  <si>
    <t>伤害减免百分比</t>
    <phoneticPr fontId="35" type="noConversion"/>
  </si>
  <si>
    <t>伤害加成</t>
    <phoneticPr fontId="35" type="noConversion"/>
  </si>
  <si>
    <t>攻击百分比</t>
    <phoneticPr fontId="35" type="noConversion"/>
  </si>
  <si>
    <t>NNZL 5级</t>
    <phoneticPr fontId="35" type="noConversion"/>
  </si>
  <si>
    <t>231103;0.02</t>
    <phoneticPr fontId="35" type="noConversion"/>
  </si>
  <si>
    <t xml:space="preserve"> Now_Res = 2004;          //当前韧性概率</t>
  </si>
  <si>
    <t>加到</t>
    <phoneticPr fontId="35" type="noConversion"/>
  </si>
  <si>
    <t>Now_PetAllDamgeAddPro = 2305;          //宠物全体伤害加成</t>
    <phoneticPr fontId="35" type="noConversion"/>
  </si>
  <si>
    <t>Now_PetAllDamgeSubPro = 2306;          //宠物全体受到伤害减免</t>
    <phoneticPr fontId="35" type="noConversion"/>
  </si>
  <si>
    <t>Now_PetAllActBossAddDamge = 2307;      //当前宠物BOSS普通攻击加成固定值</t>
    <phoneticPr fontId="35" type="noConversion"/>
  </si>
  <si>
    <t xml:space="preserve">Now_DamgeAddPro = 2009;          //当前伤害加成    </t>
    <phoneticPr fontId="35" type="noConversion"/>
  </si>
  <si>
    <t>Now_DamgeSubPro = 2010;          //当前伤害减免</t>
    <phoneticPr fontId="35" type="noConversion"/>
  </si>
  <si>
    <t>Now_ActBossPro = 2030;      //当前BOSS普通攻击加成</t>
    <phoneticPr fontId="35" type="noConversion"/>
  </si>
  <si>
    <t>Now_PetAllRes = 2304;         //宠物全体抗暴</t>
    <phoneticPr fontId="35" type="noConversion"/>
  </si>
  <si>
    <t>装备材料</t>
    <phoneticPr fontId="35" type="noConversion"/>
  </si>
  <si>
    <t>灿烂的结晶</t>
    <phoneticPr fontId="35" type="noConversion"/>
  </si>
  <si>
    <t>原装备</t>
    <phoneticPr fontId="35" type="noConversion"/>
  </si>
  <si>
    <t>平均1个宠物1个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</si>
</sst>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9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  <border>
      <left style="hair">
        <color indexed="12"/>
      </left>
      <right style="hair">
        <color indexed="12"/>
      </right>
      <top/>
      <bottom style="hair">
        <color indexed="12"/>
      </bottom>
      <diagonal/>
    </border>
  </borders>
  <cellStyleXfs count="2">
    <xf numFmtId="0" fontId="0" fillId="0" borderId="0"/>
    <xf numFmtId="0" fontId="29" fillId="0" borderId="0"/>
  </cellStyleXfs>
  <cellXfs count="124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18</xdr:col>
      <xdr:colOff>2352040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8">
          <cell r="C858">
            <v>10102302</v>
          </cell>
          <cell r="S858" t="str">
            <v>9@118203;30;75</v>
          </cell>
        </row>
        <row r="859">
          <cell r="C859">
            <v>10102303</v>
          </cell>
          <cell r="S859" t="str">
            <v>9@205003;0.01;0.03</v>
          </cell>
        </row>
        <row r="860">
          <cell r="C860">
            <v>10102401</v>
          </cell>
          <cell r="S860" t="str">
            <v>8@105403;5;20</v>
          </cell>
        </row>
        <row r="861">
          <cell r="C861">
            <v>10102402</v>
          </cell>
          <cell r="S861" t="str">
            <v>8@105203;5;20</v>
          </cell>
        </row>
        <row r="862">
          <cell r="C862">
            <v>10102403</v>
          </cell>
          <cell r="S862" t="str">
            <v>8@105503;5;20</v>
          </cell>
        </row>
        <row r="863">
          <cell r="C863">
            <v>10102404</v>
          </cell>
          <cell r="S863" t="str">
            <v>8@203603;0.01;0.03</v>
          </cell>
        </row>
        <row r="864">
          <cell r="C864">
            <v>10102501</v>
          </cell>
          <cell r="S864" t="str">
            <v>7@105103;5;20</v>
          </cell>
        </row>
        <row r="865">
          <cell r="C865">
            <v>10102502</v>
          </cell>
          <cell r="S865" t="str">
            <v>7@105303;5;20</v>
          </cell>
        </row>
        <row r="866">
          <cell r="C866">
            <v>10102503</v>
          </cell>
          <cell r="S866" t="str">
            <v>7@105503;5;20</v>
          </cell>
        </row>
        <row r="867">
          <cell r="C867">
            <v>10102504</v>
          </cell>
          <cell r="S867" t="str">
            <v>7@200503;0.01;0.03</v>
          </cell>
        </row>
        <row r="868">
          <cell r="C868">
            <v>10102601</v>
          </cell>
          <cell r="S868" t="str">
            <v>6@100603;30;100</v>
          </cell>
        </row>
        <row r="869">
          <cell r="C869">
            <v>10102602</v>
          </cell>
          <cell r="S869" t="str">
            <v>6@100803;30;100</v>
          </cell>
        </row>
        <row r="870">
          <cell r="C870">
            <v>10102603</v>
          </cell>
          <cell r="S870" t="str">
            <v>6@200103;0.01;0.03</v>
          </cell>
        </row>
        <row r="871">
          <cell r="C871">
            <v>10103101</v>
          </cell>
          <cell r="S871" t="str">
            <v>10@100403;50;150</v>
          </cell>
        </row>
        <row r="872">
          <cell r="C872">
            <v>10103102</v>
          </cell>
          <cell r="S872" t="str">
            <v>10@119103;30;100</v>
          </cell>
        </row>
        <row r="873">
          <cell r="C873">
            <v>10103103</v>
          </cell>
          <cell r="S873" t="str">
            <v>10@202103;0.01;0.03</v>
          </cell>
        </row>
        <row r="874">
          <cell r="C874">
            <v>10103201</v>
          </cell>
          <cell r="S874" t="str">
            <v>2@100203;250;750</v>
          </cell>
        </row>
        <row r="875">
          <cell r="C875">
            <v>10103202</v>
          </cell>
          <cell r="S875" t="str">
            <v>2@119403;30;100</v>
          </cell>
        </row>
        <row r="876">
          <cell r="C876">
            <v>10103203</v>
          </cell>
          <cell r="S876" t="str">
            <v>2@200903;0.01;0.03</v>
          </cell>
        </row>
        <row r="877">
          <cell r="C877">
            <v>10103301</v>
          </cell>
          <cell r="S877" t="str">
            <v>9@118103;50;150</v>
          </cell>
        </row>
        <row r="878">
          <cell r="C878">
            <v>10103302</v>
          </cell>
          <cell r="S878" t="str">
            <v>9@118203;50;150</v>
          </cell>
        </row>
        <row r="879">
          <cell r="C879">
            <v>10103303</v>
          </cell>
          <cell r="S879" t="str">
            <v>9@110303;50;150</v>
          </cell>
        </row>
        <row r="880">
          <cell r="C880">
            <v>10103401</v>
          </cell>
          <cell r="S880" t="str">
            <v>8@105403;8;30</v>
          </cell>
        </row>
        <row r="881">
          <cell r="C881">
            <v>10103402</v>
          </cell>
          <cell r="S881" t="str">
            <v>8@105203;8;30</v>
          </cell>
        </row>
        <row r="882">
          <cell r="C882">
            <v>10103403</v>
          </cell>
          <cell r="S882" t="str">
            <v>8@105503;8;30</v>
          </cell>
        </row>
        <row r="883">
          <cell r="C883">
            <v>10103404</v>
          </cell>
          <cell r="S883" t="str">
            <v>8@100202;0.01;0.03</v>
          </cell>
        </row>
        <row r="884">
          <cell r="C884">
            <v>10103501</v>
          </cell>
          <cell r="S884" t="str">
            <v>7@105103;8;30</v>
          </cell>
        </row>
        <row r="885">
          <cell r="C885">
            <v>10103502</v>
          </cell>
          <cell r="S885" t="str">
            <v>7@105303;8;30</v>
          </cell>
        </row>
        <row r="886">
          <cell r="C886">
            <v>10103503</v>
          </cell>
          <cell r="S886" t="str">
            <v>7@105503;8;30</v>
          </cell>
        </row>
        <row r="887">
          <cell r="C887">
            <v>10103504</v>
          </cell>
          <cell r="S887" t="str">
            <v>7@204103;0.01;0.03</v>
          </cell>
        </row>
        <row r="888">
          <cell r="C888">
            <v>10103601</v>
          </cell>
          <cell r="S888" t="str">
            <v>6@100603;50;150</v>
          </cell>
        </row>
        <row r="889">
          <cell r="C889">
            <v>10103602</v>
          </cell>
          <cell r="S889" t="str">
            <v>6@100803;50;150</v>
          </cell>
        </row>
        <row r="890">
          <cell r="C890">
            <v>10103603</v>
          </cell>
          <cell r="S890" t="str">
            <v>6@200303;0.01;0.03</v>
          </cell>
        </row>
        <row r="891">
          <cell r="C891">
            <v>10201101</v>
          </cell>
          <cell r="S891">
            <v>7102001</v>
          </cell>
        </row>
        <row r="892">
          <cell r="C892">
            <v>10201102</v>
          </cell>
          <cell r="S892">
            <v>7102002</v>
          </cell>
        </row>
        <row r="893">
          <cell r="C893">
            <v>10201103</v>
          </cell>
          <cell r="S893">
            <v>7102003</v>
          </cell>
        </row>
        <row r="894">
          <cell r="C894">
            <v>10201104</v>
          </cell>
          <cell r="S894">
            <v>7102004</v>
          </cell>
        </row>
        <row r="895">
          <cell r="C895">
            <v>10201201</v>
          </cell>
          <cell r="S895">
            <v>7103001</v>
          </cell>
        </row>
        <row r="896">
          <cell r="C896">
            <v>10201202</v>
          </cell>
          <cell r="S896">
            <v>7103002</v>
          </cell>
        </row>
        <row r="897">
          <cell r="C897">
            <v>10201203</v>
          </cell>
          <cell r="S897">
            <v>7103003</v>
          </cell>
        </row>
        <row r="898">
          <cell r="C898">
            <v>10201204</v>
          </cell>
          <cell r="S898">
            <v>7103004</v>
          </cell>
        </row>
        <row r="899">
          <cell r="C899">
            <v>10202101</v>
          </cell>
          <cell r="S899">
            <v>7202001</v>
          </cell>
        </row>
        <row r="900">
          <cell r="C900">
            <v>10202102</v>
          </cell>
          <cell r="S900">
            <v>7202002</v>
          </cell>
        </row>
        <row r="901">
          <cell r="C901">
            <v>10202103</v>
          </cell>
          <cell r="S901">
            <v>7202003</v>
          </cell>
        </row>
        <row r="902">
          <cell r="C902">
            <v>10202104</v>
          </cell>
          <cell r="S902">
            <v>7202004</v>
          </cell>
        </row>
        <row r="903">
          <cell r="C903">
            <v>10202201</v>
          </cell>
          <cell r="S903">
            <v>7203001</v>
          </cell>
        </row>
        <row r="904">
          <cell r="C904">
            <v>10202202</v>
          </cell>
          <cell r="S904">
            <v>7203002</v>
          </cell>
        </row>
        <row r="905">
          <cell r="C905">
            <v>10202203</v>
          </cell>
          <cell r="S905">
            <v>7203003</v>
          </cell>
        </row>
        <row r="906">
          <cell r="C906">
            <v>10202204</v>
          </cell>
          <cell r="S906">
            <v>7203004</v>
          </cell>
        </row>
        <row r="907">
          <cell r="C907">
            <v>10203101</v>
          </cell>
          <cell r="S907">
            <v>7302001</v>
          </cell>
        </row>
        <row r="908">
          <cell r="C908">
            <v>10203102</v>
          </cell>
          <cell r="S908">
            <v>7302002</v>
          </cell>
        </row>
        <row r="909">
          <cell r="C909">
            <v>10203201</v>
          </cell>
          <cell r="S909">
            <v>7303001</v>
          </cell>
        </row>
        <row r="910">
          <cell r="C910">
            <v>10203202</v>
          </cell>
          <cell r="S910">
            <v>7303002</v>
          </cell>
        </row>
        <row r="911">
          <cell r="C911">
            <v>10301001</v>
          </cell>
          <cell r="S911">
            <v>6101003</v>
          </cell>
        </row>
        <row r="912">
          <cell r="C912">
            <v>10301002</v>
          </cell>
          <cell r="S912">
            <v>6102003</v>
          </cell>
        </row>
        <row r="913">
          <cell r="C913">
            <v>10301003</v>
          </cell>
          <cell r="S913">
            <v>6103003</v>
          </cell>
        </row>
        <row r="914">
          <cell r="C914">
            <v>10301004</v>
          </cell>
          <cell r="S914">
            <v>6104004</v>
          </cell>
        </row>
        <row r="915">
          <cell r="C915">
            <v>10301005</v>
          </cell>
          <cell r="S915">
            <v>6105004</v>
          </cell>
        </row>
        <row r="916">
          <cell r="C916">
            <v>10301006</v>
          </cell>
          <cell r="S916">
            <v>6106003</v>
          </cell>
        </row>
        <row r="917">
          <cell r="C917">
            <v>10302001</v>
          </cell>
          <cell r="S917">
            <v>6201003</v>
          </cell>
        </row>
        <row r="918">
          <cell r="C918">
            <v>10302002</v>
          </cell>
          <cell r="S918">
            <v>6202003</v>
          </cell>
        </row>
        <row r="919">
          <cell r="C919">
            <v>10302003</v>
          </cell>
          <cell r="S919">
            <v>6203003</v>
          </cell>
        </row>
        <row r="920">
          <cell r="C920">
            <v>10302004</v>
          </cell>
          <cell r="S920">
            <v>6204004</v>
          </cell>
        </row>
        <row r="921">
          <cell r="C921">
            <v>10302005</v>
          </cell>
          <cell r="S921">
            <v>6205004</v>
          </cell>
        </row>
        <row r="922">
          <cell r="C922">
            <v>10302006</v>
          </cell>
          <cell r="S922">
            <v>6206003</v>
          </cell>
        </row>
        <row r="923">
          <cell r="C923">
            <v>10303001</v>
          </cell>
          <cell r="S923">
            <v>6301003</v>
          </cell>
        </row>
        <row r="924">
          <cell r="C924">
            <v>10303002</v>
          </cell>
          <cell r="S924">
            <v>6302003</v>
          </cell>
        </row>
        <row r="925">
          <cell r="C925">
            <v>10303003</v>
          </cell>
          <cell r="S925">
            <v>6303003</v>
          </cell>
        </row>
        <row r="926">
          <cell r="C926">
            <v>10303004</v>
          </cell>
          <cell r="S926">
            <v>6304004</v>
          </cell>
        </row>
        <row r="927">
          <cell r="C927">
            <v>10303005</v>
          </cell>
          <cell r="S927">
            <v>6305004</v>
          </cell>
        </row>
        <row r="928">
          <cell r="C928">
            <v>10303006</v>
          </cell>
          <cell r="S928">
            <v>6306003</v>
          </cell>
        </row>
        <row r="929">
          <cell r="C929">
            <v>11200000</v>
          </cell>
          <cell r="S929">
            <v>500</v>
          </cell>
        </row>
        <row r="930">
          <cell r="C930">
            <v>11200001</v>
          </cell>
          <cell r="S930">
            <v>500</v>
          </cell>
        </row>
        <row r="931">
          <cell r="C931">
            <v>11200002</v>
          </cell>
          <cell r="S931">
            <v>500</v>
          </cell>
        </row>
        <row r="932">
          <cell r="C932">
            <v>11200003</v>
          </cell>
          <cell r="S932">
            <v>500</v>
          </cell>
        </row>
        <row r="933">
          <cell r="C933">
            <v>11200010</v>
          </cell>
          <cell r="S933">
            <v>500</v>
          </cell>
        </row>
        <row r="934">
          <cell r="C934">
            <v>11200011</v>
          </cell>
          <cell r="S934">
            <v>500</v>
          </cell>
        </row>
        <row r="935">
          <cell r="C935">
            <v>11300001</v>
          </cell>
          <cell r="S935" t="str">
            <v>1;3901</v>
          </cell>
        </row>
        <row r="936">
          <cell r="C936">
            <v>11300002</v>
          </cell>
          <cell r="S936" t="str">
            <v>1;3906</v>
          </cell>
        </row>
        <row r="937">
          <cell r="C937">
            <v>11300003</v>
          </cell>
          <cell r="S937" t="str">
            <v>1;3907</v>
          </cell>
        </row>
        <row r="938">
          <cell r="C938">
            <v>11300004</v>
          </cell>
          <cell r="S938" t="str">
            <v>1;3908</v>
          </cell>
        </row>
        <row r="939">
          <cell r="C939">
            <v>11300005</v>
          </cell>
          <cell r="S939" t="str">
            <v>1;3909</v>
          </cell>
        </row>
        <row r="940">
          <cell r="C940">
            <v>11300006</v>
          </cell>
          <cell r="S940" t="str">
            <v>1;3910</v>
          </cell>
        </row>
        <row r="941">
          <cell r="C941">
            <v>11300007</v>
          </cell>
          <cell r="S941" t="str">
            <v>2;3902</v>
          </cell>
        </row>
        <row r="942">
          <cell r="C942">
            <v>11300008</v>
          </cell>
          <cell r="S942" t="str">
            <v>2;3903</v>
          </cell>
        </row>
        <row r="943">
          <cell r="C943">
            <v>11300009</v>
          </cell>
          <cell r="S943" t="str">
            <v>2;3904</v>
          </cell>
        </row>
        <row r="944">
          <cell r="C944">
            <v>11300101</v>
          </cell>
          <cell r="S944" t="str">
            <v>1;3101</v>
          </cell>
        </row>
        <row r="945">
          <cell r="C945">
            <v>11300102</v>
          </cell>
          <cell r="S945" t="str">
            <v>1;3102</v>
          </cell>
        </row>
        <row r="946">
          <cell r="C946">
            <v>11300103</v>
          </cell>
          <cell r="S946" t="str">
            <v>1;3103</v>
          </cell>
        </row>
        <row r="947">
          <cell r="C947">
            <v>11300104</v>
          </cell>
          <cell r="S947" t="str">
            <v>1;3104</v>
          </cell>
        </row>
        <row r="948">
          <cell r="C948">
            <v>11300105</v>
          </cell>
          <cell r="S948" t="str">
            <v>1;3105</v>
          </cell>
        </row>
        <row r="949">
          <cell r="C949">
            <v>11300201</v>
          </cell>
          <cell r="S949" t="str">
            <v>1;3201</v>
          </cell>
        </row>
        <row r="950">
          <cell r="C950">
            <v>11300202</v>
          </cell>
          <cell r="S950" t="str">
            <v>1;3202</v>
          </cell>
        </row>
        <row r="951">
          <cell r="C951">
            <v>11300203</v>
          </cell>
          <cell r="S951" t="str">
            <v>1;3203</v>
          </cell>
        </row>
        <row r="952">
          <cell r="C952">
            <v>11300204</v>
          </cell>
          <cell r="S952" t="str">
            <v>1;3204</v>
          </cell>
        </row>
        <row r="953">
          <cell r="C953">
            <v>11300205</v>
          </cell>
          <cell r="S953" t="str">
            <v>1;3205</v>
          </cell>
        </row>
        <row r="954">
          <cell r="C954">
            <v>11300301</v>
          </cell>
          <cell r="S954" t="str">
            <v>1;3301</v>
          </cell>
        </row>
        <row r="955">
          <cell r="C955">
            <v>11300302</v>
          </cell>
          <cell r="S955" t="str">
            <v>1;3302</v>
          </cell>
        </row>
        <row r="956">
          <cell r="C956">
            <v>11300303</v>
          </cell>
          <cell r="S956" t="str">
            <v>1;3303</v>
          </cell>
        </row>
        <row r="957">
          <cell r="C957">
            <v>11300304</v>
          </cell>
          <cell r="S957" t="str">
            <v>1;3304</v>
          </cell>
        </row>
        <row r="958">
          <cell r="C958">
            <v>11300305</v>
          </cell>
          <cell r="S958" t="str">
            <v>1;3305</v>
          </cell>
        </row>
        <row r="959">
          <cell r="C959">
            <v>11300401</v>
          </cell>
          <cell r="S959" t="str">
            <v>1;3401</v>
          </cell>
        </row>
        <row r="960">
          <cell r="C960">
            <v>11300402</v>
          </cell>
          <cell r="S960" t="str">
            <v>1;3402</v>
          </cell>
        </row>
        <row r="961">
          <cell r="C961">
            <v>11300403</v>
          </cell>
          <cell r="S961" t="str">
            <v>1;3403</v>
          </cell>
        </row>
        <row r="962">
          <cell r="C962">
            <v>11300404</v>
          </cell>
          <cell r="S962" t="str">
            <v>1;3404</v>
          </cell>
        </row>
        <row r="963">
          <cell r="C963">
            <v>11300405</v>
          </cell>
          <cell r="S963" t="str">
            <v>1;3405</v>
          </cell>
        </row>
        <row r="964">
          <cell r="C964">
            <v>11300501</v>
          </cell>
          <cell r="S964" t="str">
            <v>1;3501</v>
          </cell>
        </row>
        <row r="965">
          <cell r="C965">
            <v>11300502</v>
          </cell>
          <cell r="S965" t="str">
            <v>1;3502</v>
          </cell>
        </row>
        <row r="966">
          <cell r="C966">
            <v>11300503</v>
          </cell>
          <cell r="S966" t="str">
            <v>1;3503</v>
          </cell>
        </row>
        <row r="967">
          <cell r="C967">
            <v>11300504</v>
          </cell>
          <cell r="S967" t="str">
            <v>1;3504</v>
          </cell>
        </row>
        <row r="968">
          <cell r="C968">
            <v>11300505</v>
          </cell>
          <cell r="S968" t="str">
            <v>1;3505</v>
          </cell>
        </row>
        <row r="969">
          <cell r="C969">
            <v>11300601</v>
          </cell>
          <cell r="S969" t="str">
            <v>1;3601</v>
          </cell>
        </row>
        <row r="970">
          <cell r="C970">
            <v>11300602</v>
          </cell>
          <cell r="S970" t="str">
            <v>1;3602</v>
          </cell>
        </row>
        <row r="971">
          <cell r="C971">
            <v>11300603</v>
          </cell>
          <cell r="S971" t="str">
            <v>1;3603</v>
          </cell>
        </row>
        <row r="972">
          <cell r="C972">
            <v>11300604</v>
          </cell>
          <cell r="S972" t="str">
            <v>1;3604</v>
          </cell>
        </row>
        <row r="973">
          <cell r="C973">
            <v>11300605</v>
          </cell>
          <cell r="S973" t="str">
            <v>1;3605</v>
          </cell>
        </row>
        <row r="974">
          <cell r="C974">
            <v>11400101</v>
          </cell>
          <cell r="S974" t="str">
            <v>1,30@1;202103,0.01,0.03</v>
          </cell>
        </row>
        <row r="975">
          <cell r="C975">
            <v>11400102</v>
          </cell>
          <cell r="S975" t="str">
            <v>1,30@1;100203,100,200</v>
          </cell>
        </row>
        <row r="976">
          <cell r="C976">
            <v>11400103</v>
          </cell>
          <cell r="S976" t="str">
            <v>1,30@2;62000001</v>
          </cell>
        </row>
        <row r="977">
          <cell r="C977">
            <v>11500101</v>
          </cell>
        </row>
        <row r="978">
          <cell r="C978">
            <v>11500102</v>
          </cell>
        </row>
        <row r="979">
          <cell r="C979">
            <v>11500103</v>
          </cell>
        </row>
        <row r="980">
          <cell r="C980">
            <v>11500201</v>
          </cell>
        </row>
        <row r="981">
          <cell r="C981">
            <v>11500202</v>
          </cell>
        </row>
        <row r="982">
          <cell r="C982">
            <v>11500203</v>
          </cell>
        </row>
        <row r="983">
          <cell r="C983">
            <v>11500301</v>
          </cell>
        </row>
        <row r="984">
          <cell r="C984">
            <v>11500302</v>
          </cell>
        </row>
        <row r="985">
          <cell r="C985">
            <v>11500303</v>
          </cell>
        </row>
        <row r="986">
          <cell r="C986">
            <v>11500401</v>
          </cell>
        </row>
        <row r="987">
          <cell r="C987">
            <v>11500402</v>
          </cell>
        </row>
        <row r="988">
          <cell r="C988">
            <v>11500403</v>
          </cell>
        </row>
        <row r="989">
          <cell r="C989">
            <v>11500501</v>
          </cell>
        </row>
        <row r="990">
          <cell r="C990">
            <v>11500502</v>
          </cell>
        </row>
        <row r="991">
          <cell r="C991">
            <v>11500503</v>
          </cell>
        </row>
        <row r="992">
          <cell r="C992">
            <v>11500601</v>
          </cell>
        </row>
        <row r="993">
          <cell r="C993">
            <v>11500602</v>
          </cell>
        </row>
        <row r="994">
          <cell r="C994">
            <v>11500603</v>
          </cell>
        </row>
        <row r="995">
          <cell r="C995">
            <v>11600101</v>
          </cell>
        </row>
        <row r="996">
          <cell r="C996">
            <v>11600102</v>
          </cell>
        </row>
        <row r="997">
          <cell r="C997">
            <v>11600103</v>
          </cell>
        </row>
        <row r="998">
          <cell r="C998">
            <v>11600201</v>
          </cell>
        </row>
        <row r="999">
          <cell r="C999">
            <v>11600202</v>
          </cell>
        </row>
        <row r="1000">
          <cell r="C1000">
            <v>11600203</v>
          </cell>
        </row>
        <row r="1001">
          <cell r="C1001">
            <v>11600301</v>
          </cell>
        </row>
        <row r="1002">
          <cell r="C1002">
            <v>11600302</v>
          </cell>
        </row>
        <row r="1003">
          <cell r="C1003">
            <v>11600303</v>
          </cell>
        </row>
        <row r="1004">
          <cell r="C1004">
            <v>11600401</v>
          </cell>
        </row>
        <row r="1005">
          <cell r="C1005">
            <v>11600402</v>
          </cell>
        </row>
        <row r="1006">
          <cell r="C1006">
            <v>11600403</v>
          </cell>
        </row>
        <row r="1007">
          <cell r="C1007">
            <v>11600501</v>
          </cell>
        </row>
        <row r="1008">
          <cell r="C1008">
            <v>11600502</v>
          </cell>
        </row>
        <row r="1009">
          <cell r="C1009">
            <v>11600503</v>
          </cell>
        </row>
        <row r="1010">
          <cell r="C1010">
            <v>11600601</v>
          </cell>
        </row>
        <row r="1011">
          <cell r="C1011">
            <v>11600602</v>
          </cell>
        </row>
        <row r="1012">
          <cell r="C1012">
            <v>11600603</v>
          </cell>
        </row>
        <row r="1013">
          <cell r="C1013">
            <v>11600701</v>
          </cell>
        </row>
        <row r="1014">
          <cell r="C1014">
            <v>11600702</v>
          </cell>
        </row>
        <row r="1015">
          <cell r="C1015">
            <v>11600703</v>
          </cell>
        </row>
        <row r="1016">
          <cell r="C1016">
            <v>11600801</v>
          </cell>
        </row>
        <row r="1017">
          <cell r="C1017">
            <v>11600802</v>
          </cell>
        </row>
        <row r="1018">
          <cell r="C1018">
            <v>11600803</v>
          </cell>
        </row>
        <row r="1019">
          <cell r="C1019">
            <v>11600901</v>
          </cell>
        </row>
        <row r="1020">
          <cell r="C1020">
            <v>11600902</v>
          </cell>
        </row>
        <row r="1021">
          <cell r="C1021">
            <v>11600903</v>
          </cell>
        </row>
        <row r="1022">
          <cell r="C1022">
            <v>11610101</v>
          </cell>
        </row>
        <row r="1023">
          <cell r="C1023">
            <v>11610102</v>
          </cell>
        </row>
        <row r="1024">
          <cell r="C1024">
            <v>11610103</v>
          </cell>
        </row>
        <row r="1025">
          <cell r="C1025">
            <v>11610201</v>
          </cell>
        </row>
        <row r="1026">
          <cell r="C1026">
            <v>11610202</v>
          </cell>
        </row>
        <row r="1027">
          <cell r="C1027">
            <v>11610203</v>
          </cell>
        </row>
        <row r="1028">
          <cell r="C1028">
            <v>11610301</v>
          </cell>
        </row>
        <row r="1029">
          <cell r="C1029">
            <v>11610302</v>
          </cell>
        </row>
        <row r="1030">
          <cell r="C1030">
            <v>11610303</v>
          </cell>
        </row>
        <row r="1031">
          <cell r="C1031">
            <v>11610401</v>
          </cell>
        </row>
        <row r="1032">
          <cell r="C1032">
            <v>11610402</v>
          </cell>
        </row>
        <row r="1033">
          <cell r="C1033">
            <v>11610403</v>
          </cell>
        </row>
        <row r="1034">
          <cell r="C1034">
            <v>11610501</v>
          </cell>
        </row>
        <row r="1035">
          <cell r="C1035">
            <v>11610502</v>
          </cell>
        </row>
        <row r="1036">
          <cell r="C1036">
            <v>11610503</v>
          </cell>
        </row>
        <row r="1037">
          <cell r="C1037">
            <v>11610601</v>
          </cell>
        </row>
        <row r="1038">
          <cell r="C1038">
            <v>11610602</v>
          </cell>
        </row>
        <row r="1039">
          <cell r="C1039">
            <v>11610603</v>
          </cell>
        </row>
        <row r="1040">
          <cell r="C1040">
            <v>11610701</v>
          </cell>
        </row>
        <row r="1041">
          <cell r="C1041">
            <v>11610702</v>
          </cell>
        </row>
        <row r="1042">
          <cell r="C1042">
            <v>11610703</v>
          </cell>
        </row>
        <row r="1043">
          <cell r="C1043">
            <v>13001001</v>
          </cell>
          <cell r="S1043">
            <v>65001001</v>
          </cell>
        </row>
        <row r="1044">
          <cell r="C1044">
            <v>13001002</v>
          </cell>
          <cell r="S1044">
            <v>65001002</v>
          </cell>
        </row>
        <row r="1045">
          <cell r="C1045">
            <v>13001003</v>
          </cell>
          <cell r="S1045">
            <v>65001003</v>
          </cell>
        </row>
        <row r="1046">
          <cell r="C1046">
            <v>13001004</v>
          </cell>
          <cell r="S1046">
            <v>65001004</v>
          </cell>
        </row>
        <row r="1047">
          <cell r="C1047">
            <v>13001005</v>
          </cell>
          <cell r="S1047">
            <v>65001005</v>
          </cell>
        </row>
        <row r="1048">
          <cell r="C1048">
            <v>13001006</v>
          </cell>
          <cell r="S1048">
            <v>65001006</v>
          </cell>
        </row>
        <row r="1049">
          <cell r="C1049">
            <v>13001101</v>
          </cell>
          <cell r="S1049">
            <v>65001101</v>
          </cell>
        </row>
        <row r="1050">
          <cell r="C1050">
            <v>13001102</v>
          </cell>
          <cell r="S1050">
            <v>65001102</v>
          </cell>
        </row>
        <row r="1051">
          <cell r="C1051">
            <v>13001103</v>
          </cell>
          <cell r="S1051">
            <v>65001103</v>
          </cell>
        </row>
        <row r="1052">
          <cell r="C1052">
            <v>13001104</v>
          </cell>
          <cell r="S1052">
            <v>65001104</v>
          </cell>
        </row>
        <row r="1053">
          <cell r="C1053">
            <v>13001105</v>
          </cell>
          <cell r="S1053">
            <v>65001105</v>
          </cell>
        </row>
        <row r="1054">
          <cell r="C1054">
            <v>13002001</v>
          </cell>
          <cell r="S1054">
            <v>65002001</v>
          </cell>
        </row>
        <row r="1055">
          <cell r="C1055">
            <v>13002002</v>
          </cell>
          <cell r="S1055">
            <v>65002002</v>
          </cell>
        </row>
        <row r="1056">
          <cell r="C1056">
            <v>13002003</v>
          </cell>
          <cell r="S1056">
            <v>65002003</v>
          </cell>
        </row>
        <row r="1057">
          <cell r="C1057">
            <v>13002004</v>
          </cell>
          <cell r="S1057">
            <v>65002004</v>
          </cell>
        </row>
        <row r="1058">
          <cell r="C1058">
            <v>13002005</v>
          </cell>
          <cell r="S1058">
            <v>65002005</v>
          </cell>
        </row>
        <row r="1059">
          <cell r="C1059">
            <v>13002006</v>
          </cell>
          <cell r="S1059">
            <v>65002006</v>
          </cell>
        </row>
        <row r="1060">
          <cell r="C1060">
            <v>13002101</v>
          </cell>
          <cell r="S1060">
            <v>65002101</v>
          </cell>
        </row>
        <row r="1061">
          <cell r="C1061">
            <v>13002102</v>
          </cell>
          <cell r="S1061">
            <v>65002102</v>
          </cell>
        </row>
        <row r="1062">
          <cell r="C1062">
            <v>13002103</v>
          </cell>
          <cell r="S1062">
            <v>65002103</v>
          </cell>
        </row>
        <row r="1063">
          <cell r="C1063">
            <v>13002104</v>
          </cell>
          <cell r="S1063">
            <v>65002104</v>
          </cell>
        </row>
        <row r="1064">
          <cell r="C1064">
            <v>13002105</v>
          </cell>
          <cell r="S1064">
            <v>65002105</v>
          </cell>
        </row>
        <row r="1065">
          <cell r="C1065">
            <v>13003001</v>
          </cell>
          <cell r="S1065">
            <v>65003001</v>
          </cell>
        </row>
        <row r="1066">
          <cell r="C1066">
            <v>13003002</v>
          </cell>
          <cell r="S1066">
            <v>65003002</v>
          </cell>
        </row>
        <row r="1067">
          <cell r="C1067">
            <v>13003003</v>
          </cell>
          <cell r="S1067">
            <v>65003003</v>
          </cell>
        </row>
        <row r="1068">
          <cell r="C1068">
            <v>13003004</v>
          </cell>
          <cell r="S1068">
            <v>65003004</v>
          </cell>
        </row>
        <row r="1069">
          <cell r="C1069">
            <v>13003005</v>
          </cell>
          <cell r="S1069">
            <v>65003005</v>
          </cell>
        </row>
        <row r="1070">
          <cell r="C1070">
            <v>13003006</v>
          </cell>
          <cell r="S1070">
            <v>65003006</v>
          </cell>
        </row>
        <row r="1071">
          <cell r="C1071">
            <v>13003101</v>
          </cell>
          <cell r="S1071">
            <v>65003101</v>
          </cell>
        </row>
        <row r="1072">
          <cell r="C1072">
            <v>13003102</v>
          </cell>
          <cell r="S1072">
            <v>65003102</v>
          </cell>
        </row>
        <row r="1073">
          <cell r="C1073">
            <v>13003103</v>
          </cell>
          <cell r="S1073">
            <v>65003103</v>
          </cell>
        </row>
        <row r="1074">
          <cell r="C1074">
            <v>13003104</v>
          </cell>
          <cell r="S1074">
            <v>65003104</v>
          </cell>
        </row>
        <row r="1075">
          <cell r="C1075">
            <v>13003105</v>
          </cell>
          <cell r="S1075">
            <v>65003105</v>
          </cell>
        </row>
        <row r="1076">
          <cell r="C1076">
            <v>13004001</v>
          </cell>
          <cell r="S1076">
            <v>65004001</v>
          </cell>
        </row>
        <row r="1077">
          <cell r="C1077">
            <v>13004002</v>
          </cell>
          <cell r="S1077">
            <v>65004002</v>
          </cell>
        </row>
        <row r="1078">
          <cell r="C1078">
            <v>13004003</v>
          </cell>
          <cell r="S1078">
            <v>65004003</v>
          </cell>
        </row>
        <row r="1079">
          <cell r="C1079">
            <v>13004004</v>
          </cell>
          <cell r="S1079">
            <v>65004004</v>
          </cell>
        </row>
        <row r="1080">
          <cell r="C1080">
            <v>13004005</v>
          </cell>
          <cell r="S1080">
            <v>65004005</v>
          </cell>
        </row>
        <row r="1081">
          <cell r="C1081">
            <v>13004006</v>
          </cell>
          <cell r="S1081">
            <v>65004006</v>
          </cell>
        </row>
        <row r="1082">
          <cell r="C1082">
            <v>13004101</v>
          </cell>
          <cell r="S1082">
            <v>65004101</v>
          </cell>
        </row>
        <row r="1083">
          <cell r="C1083">
            <v>13004102</v>
          </cell>
          <cell r="S1083">
            <v>65004102</v>
          </cell>
        </row>
        <row r="1084">
          <cell r="C1084">
            <v>13004103</v>
          </cell>
          <cell r="S1084">
            <v>65004103</v>
          </cell>
        </row>
        <row r="1085">
          <cell r="C1085">
            <v>13004104</v>
          </cell>
          <cell r="S1085">
            <v>65004104</v>
          </cell>
        </row>
        <row r="1086">
          <cell r="C1086">
            <v>13004105</v>
          </cell>
          <cell r="S1086">
            <v>65004105</v>
          </cell>
        </row>
        <row r="1087">
          <cell r="C1087">
            <v>13005001</v>
          </cell>
          <cell r="S1087">
            <v>65005001</v>
          </cell>
        </row>
        <row r="1088">
          <cell r="C1088">
            <v>13005002</v>
          </cell>
          <cell r="S1088">
            <v>65005002</v>
          </cell>
        </row>
        <row r="1089">
          <cell r="C1089">
            <v>13005003</v>
          </cell>
          <cell r="S1089">
            <v>65005003</v>
          </cell>
        </row>
        <row r="1090">
          <cell r="C1090">
            <v>13005004</v>
          </cell>
          <cell r="S1090">
            <v>65005004</v>
          </cell>
        </row>
        <row r="1091">
          <cell r="C1091">
            <v>13005005</v>
          </cell>
          <cell r="S1091">
            <v>65005005</v>
          </cell>
        </row>
        <row r="1092">
          <cell r="C1092">
            <v>13005006</v>
          </cell>
          <cell r="S1092">
            <v>65005006</v>
          </cell>
        </row>
        <row r="1093">
          <cell r="C1093">
            <v>13005101</v>
          </cell>
          <cell r="S1093">
            <v>65005101</v>
          </cell>
        </row>
        <row r="1094">
          <cell r="C1094">
            <v>13005102</v>
          </cell>
          <cell r="S1094">
            <v>65005102</v>
          </cell>
        </row>
        <row r="1095">
          <cell r="C1095">
            <v>13005103</v>
          </cell>
          <cell r="S1095">
            <v>65005103</v>
          </cell>
        </row>
        <row r="1096">
          <cell r="C1096">
            <v>13005104</v>
          </cell>
          <cell r="S1096">
            <v>65005104</v>
          </cell>
        </row>
        <row r="1097">
          <cell r="C1097">
            <v>13005105</v>
          </cell>
          <cell r="S1097">
            <v>65005105</v>
          </cell>
        </row>
        <row r="1098">
          <cell r="C1098">
            <v>13006001</v>
          </cell>
          <cell r="S1098">
            <v>65006001</v>
          </cell>
        </row>
        <row r="1099">
          <cell r="C1099">
            <v>13006002</v>
          </cell>
          <cell r="S1099">
            <v>65006002</v>
          </cell>
        </row>
        <row r="1100">
          <cell r="C1100">
            <v>13006003</v>
          </cell>
          <cell r="S1100">
            <v>65006003</v>
          </cell>
        </row>
        <row r="1101">
          <cell r="C1101">
            <v>13006004</v>
          </cell>
          <cell r="S1101">
            <v>65006004</v>
          </cell>
        </row>
        <row r="1102">
          <cell r="C1102">
            <v>13009001</v>
          </cell>
          <cell r="S1102" t="str">
            <v>4;20</v>
          </cell>
        </row>
        <row r="1103">
          <cell r="C1103">
            <v>13009002</v>
          </cell>
          <cell r="S1103" t="str">
            <v>5;20</v>
          </cell>
        </row>
        <row r="1104">
          <cell r="C1104">
            <v>14000001</v>
          </cell>
        </row>
        <row r="1105">
          <cell r="C1105">
            <v>14000002</v>
          </cell>
        </row>
        <row r="1106">
          <cell r="C1106">
            <v>14000003</v>
          </cell>
        </row>
        <row r="1107">
          <cell r="C1107">
            <v>14000004</v>
          </cell>
        </row>
        <row r="1108">
          <cell r="C1108">
            <v>14000005</v>
          </cell>
        </row>
        <row r="1109">
          <cell r="C1109">
            <v>14010001</v>
          </cell>
        </row>
        <row r="1110">
          <cell r="C1110">
            <v>14010002</v>
          </cell>
        </row>
        <row r="1111">
          <cell r="C1111">
            <v>14010003</v>
          </cell>
        </row>
        <row r="1112">
          <cell r="C1112">
            <v>14010004</v>
          </cell>
        </row>
        <row r="1113">
          <cell r="C1113">
            <v>14010005</v>
          </cell>
        </row>
        <row r="1114">
          <cell r="C1114">
            <v>14010006</v>
          </cell>
        </row>
        <row r="1115">
          <cell r="C1115">
            <v>14010007</v>
          </cell>
        </row>
        <row r="1116">
          <cell r="C1116">
            <v>14010008</v>
          </cell>
        </row>
        <row r="1117">
          <cell r="C1117">
            <v>14010009</v>
          </cell>
        </row>
        <row r="1118">
          <cell r="C1118">
            <v>14010010</v>
          </cell>
        </row>
        <row r="1119">
          <cell r="C1119">
            <v>14010011</v>
          </cell>
        </row>
        <row r="1120">
          <cell r="C1120">
            <v>14010012</v>
          </cell>
        </row>
        <row r="1121">
          <cell r="C1121">
            <v>14020001</v>
          </cell>
        </row>
        <row r="1122">
          <cell r="C1122">
            <v>14020002</v>
          </cell>
        </row>
        <row r="1123">
          <cell r="C1123">
            <v>14020003</v>
          </cell>
        </row>
        <row r="1124">
          <cell r="C1124">
            <v>14020004</v>
          </cell>
        </row>
        <row r="1125">
          <cell r="C1125">
            <v>14020005</v>
          </cell>
        </row>
        <row r="1126">
          <cell r="C1126">
            <v>14020006</v>
          </cell>
        </row>
        <row r="1127">
          <cell r="C1127">
            <v>14020007</v>
          </cell>
        </row>
        <row r="1128">
          <cell r="C1128">
            <v>14020008</v>
          </cell>
        </row>
        <row r="1129">
          <cell r="C1129">
            <v>14020009</v>
          </cell>
        </row>
        <row r="1130">
          <cell r="C1130">
            <v>14020010</v>
          </cell>
        </row>
        <row r="1131">
          <cell r="C1131">
            <v>14020011</v>
          </cell>
        </row>
        <row r="1132">
          <cell r="C1132">
            <v>14020012</v>
          </cell>
        </row>
        <row r="1133">
          <cell r="C1133">
            <v>14020013</v>
          </cell>
        </row>
        <row r="1134">
          <cell r="C1134">
            <v>14030001</v>
          </cell>
        </row>
        <row r="1135">
          <cell r="C1135">
            <v>14030002</v>
          </cell>
        </row>
        <row r="1136">
          <cell r="C1136">
            <v>14030003</v>
          </cell>
        </row>
        <row r="1137">
          <cell r="C1137">
            <v>14030004</v>
          </cell>
        </row>
        <row r="1138">
          <cell r="C1138">
            <v>14030005</v>
          </cell>
        </row>
        <row r="1139">
          <cell r="C1139">
            <v>14030006</v>
          </cell>
        </row>
        <row r="1140">
          <cell r="C1140">
            <v>14030007</v>
          </cell>
        </row>
        <row r="1141">
          <cell r="C1141">
            <v>14030008</v>
          </cell>
        </row>
        <row r="1142">
          <cell r="C1142">
            <v>14030009</v>
          </cell>
        </row>
        <row r="1143">
          <cell r="C1143">
            <v>14030010</v>
          </cell>
        </row>
        <row r="1144">
          <cell r="C1144">
            <v>14030011</v>
          </cell>
        </row>
        <row r="1145">
          <cell r="C1145">
            <v>14030012</v>
          </cell>
        </row>
        <row r="1146">
          <cell r="C1146">
            <v>14030013</v>
          </cell>
        </row>
        <row r="1147">
          <cell r="C1147">
            <v>14040001</v>
          </cell>
        </row>
        <row r="1148">
          <cell r="C1148">
            <v>14040002</v>
          </cell>
        </row>
        <row r="1149">
          <cell r="C1149">
            <v>14040003</v>
          </cell>
        </row>
        <row r="1150">
          <cell r="C1150">
            <v>14040004</v>
          </cell>
        </row>
        <row r="1151">
          <cell r="C1151">
            <v>14040005</v>
          </cell>
        </row>
        <row r="1152">
          <cell r="C1152">
            <v>14040006</v>
          </cell>
        </row>
        <row r="1153">
          <cell r="C1153">
            <v>14040007</v>
          </cell>
        </row>
        <row r="1154">
          <cell r="C1154">
            <v>14040008</v>
          </cell>
        </row>
        <row r="1155">
          <cell r="C1155">
            <v>14040009</v>
          </cell>
        </row>
        <row r="1156">
          <cell r="C1156">
            <v>14040010</v>
          </cell>
        </row>
        <row r="1157">
          <cell r="C1157">
            <v>14040011</v>
          </cell>
        </row>
        <row r="1158">
          <cell r="C1158">
            <v>14040012</v>
          </cell>
        </row>
        <row r="1159">
          <cell r="C1159">
            <v>14050001</v>
          </cell>
        </row>
        <row r="1160">
          <cell r="C1160">
            <v>14050002</v>
          </cell>
        </row>
        <row r="1161">
          <cell r="C1161">
            <v>14050003</v>
          </cell>
        </row>
        <row r="1162">
          <cell r="C1162">
            <v>14050004</v>
          </cell>
        </row>
        <row r="1163">
          <cell r="C1163">
            <v>14050005</v>
          </cell>
        </row>
        <row r="1164">
          <cell r="C1164">
            <v>14050006</v>
          </cell>
        </row>
        <row r="1165">
          <cell r="C1165">
            <v>14050007</v>
          </cell>
        </row>
        <row r="1166">
          <cell r="C1166">
            <v>14050008</v>
          </cell>
        </row>
        <row r="1167">
          <cell r="C1167">
            <v>14050009</v>
          </cell>
        </row>
        <row r="1168">
          <cell r="C1168">
            <v>14050010</v>
          </cell>
        </row>
        <row r="1169">
          <cell r="C1169">
            <v>14050011</v>
          </cell>
        </row>
        <row r="1170">
          <cell r="C1170">
            <v>14050012</v>
          </cell>
        </row>
        <row r="1171">
          <cell r="C1171">
            <v>14060001</v>
          </cell>
        </row>
        <row r="1172">
          <cell r="C1172">
            <v>14060002</v>
          </cell>
        </row>
        <row r="1173">
          <cell r="C1173">
            <v>14060003</v>
          </cell>
        </row>
        <row r="1174">
          <cell r="C1174">
            <v>14060004</v>
          </cell>
        </row>
        <row r="1175">
          <cell r="C1175">
            <v>14060005</v>
          </cell>
        </row>
        <row r="1176">
          <cell r="C1176">
            <v>14060006</v>
          </cell>
        </row>
        <row r="1177">
          <cell r="C1177">
            <v>14070001</v>
          </cell>
        </row>
        <row r="1178">
          <cell r="C1178">
            <v>14070002</v>
          </cell>
        </row>
        <row r="1179">
          <cell r="C1179">
            <v>14070003</v>
          </cell>
        </row>
        <row r="1180">
          <cell r="C1180">
            <v>14070004</v>
          </cell>
        </row>
        <row r="1181">
          <cell r="C1181">
            <v>14080001</v>
          </cell>
        </row>
        <row r="1182">
          <cell r="C1182">
            <v>14080002</v>
          </cell>
        </row>
        <row r="1183">
          <cell r="C1183">
            <v>14080003</v>
          </cell>
        </row>
        <row r="1184">
          <cell r="C1184">
            <v>14080004</v>
          </cell>
        </row>
        <row r="1185">
          <cell r="C1185">
            <v>14090001</v>
          </cell>
        </row>
        <row r="1186">
          <cell r="C1186">
            <v>14090002</v>
          </cell>
        </row>
        <row r="1187">
          <cell r="C1187">
            <v>14090003</v>
          </cell>
        </row>
        <row r="1188">
          <cell r="C1188">
            <v>14090004</v>
          </cell>
        </row>
        <row r="1189">
          <cell r="C1189">
            <v>14100001</v>
          </cell>
        </row>
        <row r="1190">
          <cell r="C1190">
            <v>14100002</v>
          </cell>
        </row>
        <row r="1191">
          <cell r="C1191">
            <v>14100003</v>
          </cell>
        </row>
        <row r="1192">
          <cell r="C1192">
            <v>14100004</v>
          </cell>
        </row>
        <row r="1193">
          <cell r="C1193">
            <v>14100005</v>
          </cell>
        </row>
        <row r="1194">
          <cell r="C1194">
            <v>14100006</v>
          </cell>
        </row>
        <row r="1195">
          <cell r="C1195">
            <v>14100007</v>
          </cell>
        </row>
        <row r="1196">
          <cell r="C1196">
            <v>14100008</v>
          </cell>
        </row>
        <row r="1197">
          <cell r="C1197">
            <v>14100011</v>
          </cell>
        </row>
        <row r="1198">
          <cell r="C1198">
            <v>14100012</v>
          </cell>
        </row>
        <row r="1199">
          <cell r="C1199">
            <v>14100021</v>
          </cell>
        </row>
        <row r="1200">
          <cell r="C1200">
            <v>14100022</v>
          </cell>
        </row>
        <row r="1201">
          <cell r="C1201">
            <v>14100101</v>
          </cell>
        </row>
        <row r="1202">
          <cell r="C1202">
            <v>14100102</v>
          </cell>
        </row>
        <row r="1203">
          <cell r="C1203">
            <v>14100103</v>
          </cell>
        </row>
        <row r="1204">
          <cell r="C1204">
            <v>14100104</v>
          </cell>
        </row>
        <row r="1205">
          <cell r="C1205">
            <v>14100105</v>
          </cell>
        </row>
        <row r="1206">
          <cell r="C1206">
            <v>14100106</v>
          </cell>
        </row>
        <row r="1207">
          <cell r="C1207">
            <v>14100107</v>
          </cell>
        </row>
        <row r="1208">
          <cell r="C1208">
            <v>14100108</v>
          </cell>
        </row>
        <row r="1209">
          <cell r="C1209">
            <v>14100111</v>
          </cell>
        </row>
        <row r="1210">
          <cell r="C1210">
            <v>14100112</v>
          </cell>
        </row>
        <row r="1211">
          <cell r="C1211">
            <v>14100121</v>
          </cell>
        </row>
        <row r="1212">
          <cell r="C1212">
            <v>14100122</v>
          </cell>
        </row>
        <row r="1213">
          <cell r="C1213">
            <v>14100201</v>
          </cell>
        </row>
        <row r="1214">
          <cell r="C1214">
            <v>14100202</v>
          </cell>
        </row>
        <row r="1215">
          <cell r="C1215">
            <v>14100203</v>
          </cell>
        </row>
        <row r="1216">
          <cell r="C1216">
            <v>14100204</v>
          </cell>
        </row>
        <row r="1217">
          <cell r="C1217">
            <v>14100211</v>
          </cell>
        </row>
        <row r="1218">
          <cell r="C1218">
            <v>14100221</v>
          </cell>
        </row>
        <row r="1219">
          <cell r="C1219">
            <v>14110001</v>
          </cell>
        </row>
        <row r="1220">
          <cell r="C1220">
            <v>14110002</v>
          </cell>
        </row>
        <row r="1221">
          <cell r="C1221">
            <v>14110003</v>
          </cell>
        </row>
        <row r="1222">
          <cell r="C1222">
            <v>14110004</v>
          </cell>
        </row>
        <row r="1223">
          <cell r="C1223">
            <v>14110005</v>
          </cell>
        </row>
        <row r="1224">
          <cell r="C1224">
            <v>14110006</v>
          </cell>
        </row>
        <row r="1225">
          <cell r="C1225">
            <v>14110007</v>
          </cell>
        </row>
        <row r="1226">
          <cell r="C1226">
            <v>14110008</v>
          </cell>
        </row>
        <row r="1227">
          <cell r="C1227">
            <v>14110009</v>
          </cell>
        </row>
        <row r="1228">
          <cell r="C1228">
            <v>14110010</v>
          </cell>
        </row>
        <row r="1229">
          <cell r="C1229">
            <v>14110011</v>
          </cell>
        </row>
        <row r="1230">
          <cell r="C1230">
            <v>14110012</v>
          </cell>
        </row>
        <row r="1231">
          <cell r="C1231">
            <v>14110021</v>
          </cell>
        </row>
        <row r="1232">
          <cell r="C1232">
            <v>14110022</v>
          </cell>
        </row>
        <row r="1233">
          <cell r="C1233">
            <v>14110023</v>
          </cell>
        </row>
        <row r="1234">
          <cell r="C1234">
            <v>15201001</v>
          </cell>
        </row>
        <row r="1235">
          <cell r="C1235">
            <v>15201002</v>
          </cell>
        </row>
        <row r="1236">
          <cell r="C1236">
            <v>15201003</v>
          </cell>
        </row>
        <row r="1237">
          <cell r="C1237">
            <v>15201004</v>
          </cell>
        </row>
        <row r="1238">
          <cell r="C1238">
            <v>15201005</v>
          </cell>
        </row>
        <row r="1239">
          <cell r="C1239">
            <v>15201006</v>
          </cell>
        </row>
        <row r="1240">
          <cell r="C1240">
            <v>15202001</v>
          </cell>
        </row>
        <row r="1241">
          <cell r="C1241">
            <v>15202002</v>
          </cell>
        </row>
        <row r="1242">
          <cell r="C1242">
            <v>15202003</v>
          </cell>
        </row>
        <row r="1243">
          <cell r="C1243">
            <v>15202004</v>
          </cell>
        </row>
        <row r="1244">
          <cell r="C1244">
            <v>15202005</v>
          </cell>
        </row>
        <row r="1245">
          <cell r="C1245">
            <v>15202006</v>
          </cell>
        </row>
        <row r="1246">
          <cell r="C1246">
            <v>15203001</v>
          </cell>
        </row>
        <row r="1247">
          <cell r="C1247">
            <v>15203002</v>
          </cell>
        </row>
        <row r="1248">
          <cell r="C1248">
            <v>15203003</v>
          </cell>
        </row>
        <row r="1249">
          <cell r="C1249">
            <v>15203004</v>
          </cell>
        </row>
        <row r="1250">
          <cell r="C1250">
            <v>15203005</v>
          </cell>
        </row>
        <row r="1251">
          <cell r="C1251">
            <v>15203006</v>
          </cell>
        </row>
        <row r="1252">
          <cell r="C1252">
            <v>15204001</v>
          </cell>
        </row>
        <row r="1253">
          <cell r="C1253">
            <v>15204002</v>
          </cell>
        </row>
        <row r="1254">
          <cell r="C1254">
            <v>15204003</v>
          </cell>
        </row>
        <row r="1255">
          <cell r="C1255">
            <v>15204004</v>
          </cell>
        </row>
        <row r="1256">
          <cell r="C1256">
            <v>15204005</v>
          </cell>
        </row>
        <row r="1257">
          <cell r="C1257">
            <v>15204006</v>
          </cell>
        </row>
        <row r="1258">
          <cell r="C1258">
            <v>15205001</v>
          </cell>
        </row>
        <row r="1259">
          <cell r="C1259">
            <v>15205002</v>
          </cell>
        </row>
        <row r="1260">
          <cell r="C1260">
            <v>15205003</v>
          </cell>
        </row>
        <row r="1261">
          <cell r="C1261">
            <v>15205004</v>
          </cell>
        </row>
        <row r="1262">
          <cell r="C1262">
            <v>15205005</v>
          </cell>
        </row>
        <row r="1263">
          <cell r="C1263">
            <v>15205006</v>
          </cell>
        </row>
        <row r="1264">
          <cell r="C1264">
            <v>15205007</v>
          </cell>
        </row>
        <row r="1265">
          <cell r="C1265">
            <v>15206001</v>
          </cell>
        </row>
        <row r="1266">
          <cell r="C1266">
            <v>15206002</v>
          </cell>
        </row>
        <row r="1267">
          <cell r="C1267">
            <v>15206003</v>
          </cell>
        </row>
        <row r="1268">
          <cell r="C1268">
            <v>15207001</v>
          </cell>
        </row>
        <row r="1269">
          <cell r="C1269">
            <v>15207002</v>
          </cell>
        </row>
        <row r="1270">
          <cell r="C1270">
            <v>15207003</v>
          </cell>
        </row>
        <row r="1271">
          <cell r="C1271">
            <v>15208001</v>
          </cell>
        </row>
        <row r="1272">
          <cell r="C1272">
            <v>15208002</v>
          </cell>
        </row>
        <row r="1273">
          <cell r="C1273">
            <v>15208003</v>
          </cell>
        </row>
        <row r="1274">
          <cell r="C1274">
            <v>15209001</v>
          </cell>
        </row>
        <row r="1275">
          <cell r="C1275">
            <v>15209002</v>
          </cell>
        </row>
        <row r="1276">
          <cell r="C1276">
            <v>15210001</v>
          </cell>
        </row>
        <row r="1277">
          <cell r="C1277">
            <v>15210002</v>
          </cell>
        </row>
        <row r="1278">
          <cell r="C1278">
            <v>15210003</v>
          </cell>
        </row>
        <row r="1279">
          <cell r="C1279">
            <v>15210004</v>
          </cell>
        </row>
        <row r="1280">
          <cell r="C1280">
            <v>15210011</v>
          </cell>
        </row>
        <row r="1281">
          <cell r="C1281">
            <v>15210012</v>
          </cell>
        </row>
        <row r="1282">
          <cell r="C1282">
            <v>15210101</v>
          </cell>
        </row>
        <row r="1283">
          <cell r="C1283">
            <v>15210102</v>
          </cell>
        </row>
        <row r="1284">
          <cell r="C1284">
            <v>15210103</v>
          </cell>
        </row>
        <row r="1285">
          <cell r="C1285">
            <v>15210104</v>
          </cell>
        </row>
        <row r="1286">
          <cell r="C1286">
            <v>15210111</v>
          </cell>
        </row>
        <row r="1287">
          <cell r="C1287">
            <v>15210112</v>
          </cell>
        </row>
        <row r="1288">
          <cell r="C1288">
            <v>15210201</v>
          </cell>
        </row>
        <row r="1289">
          <cell r="C1289">
            <v>15210202</v>
          </cell>
        </row>
        <row r="1290">
          <cell r="C1290">
            <v>15210211</v>
          </cell>
        </row>
        <row r="1291">
          <cell r="C1291">
            <v>15211001</v>
          </cell>
        </row>
        <row r="1292">
          <cell r="C1292">
            <v>15211002</v>
          </cell>
        </row>
        <row r="1293">
          <cell r="C1293">
            <v>15211003</v>
          </cell>
        </row>
        <row r="1294">
          <cell r="C1294">
            <v>15211004</v>
          </cell>
        </row>
        <row r="1295">
          <cell r="C1295">
            <v>15211005</v>
          </cell>
        </row>
        <row r="1296">
          <cell r="C1296">
            <v>15211006</v>
          </cell>
        </row>
        <row r="1297">
          <cell r="C1297">
            <v>15211011</v>
          </cell>
        </row>
        <row r="1298">
          <cell r="C1298">
            <v>15211012</v>
          </cell>
        </row>
        <row r="1299">
          <cell r="C1299">
            <v>15211013</v>
          </cell>
        </row>
        <row r="1300">
          <cell r="C1300">
            <v>15301001</v>
          </cell>
        </row>
        <row r="1301">
          <cell r="C1301">
            <v>15301002</v>
          </cell>
        </row>
        <row r="1302">
          <cell r="C1302">
            <v>15301003</v>
          </cell>
        </row>
        <row r="1303">
          <cell r="C1303">
            <v>15301004</v>
          </cell>
        </row>
        <row r="1304">
          <cell r="C1304">
            <v>15301005</v>
          </cell>
        </row>
        <row r="1305">
          <cell r="C1305">
            <v>15301006</v>
          </cell>
        </row>
        <row r="1306">
          <cell r="C1306">
            <v>15302001</v>
          </cell>
        </row>
        <row r="1307">
          <cell r="C1307">
            <v>15302002</v>
          </cell>
        </row>
        <row r="1308">
          <cell r="C1308">
            <v>15302003</v>
          </cell>
        </row>
        <row r="1309">
          <cell r="C1309">
            <v>15302004</v>
          </cell>
        </row>
        <row r="1310">
          <cell r="C1310">
            <v>15302005</v>
          </cell>
        </row>
        <row r="1311">
          <cell r="C1311">
            <v>15302006</v>
          </cell>
        </row>
        <row r="1312">
          <cell r="C1312">
            <v>15302007</v>
          </cell>
        </row>
        <row r="1313">
          <cell r="C1313">
            <v>15303001</v>
          </cell>
        </row>
        <row r="1314">
          <cell r="C1314">
            <v>15303002</v>
          </cell>
        </row>
        <row r="1315">
          <cell r="C1315">
            <v>15303003</v>
          </cell>
        </row>
        <row r="1316">
          <cell r="C1316">
            <v>15303004</v>
          </cell>
        </row>
        <row r="1317">
          <cell r="C1317">
            <v>15303005</v>
          </cell>
        </row>
        <row r="1318">
          <cell r="C1318">
            <v>15303006</v>
          </cell>
        </row>
        <row r="1319">
          <cell r="C1319">
            <v>15304001</v>
          </cell>
        </row>
        <row r="1320">
          <cell r="C1320">
            <v>15304002</v>
          </cell>
        </row>
        <row r="1321">
          <cell r="C1321">
            <v>15304003</v>
          </cell>
        </row>
        <row r="1322">
          <cell r="C1322">
            <v>15304004</v>
          </cell>
        </row>
        <row r="1323">
          <cell r="C1323">
            <v>15304005</v>
          </cell>
        </row>
        <row r="1324">
          <cell r="C1324">
            <v>15304006</v>
          </cell>
        </row>
        <row r="1325">
          <cell r="C1325">
            <v>15305001</v>
          </cell>
        </row>
        <row r="1326">
          <cell r="C1326">
            <v>15305002</v>
          </cell>
        </row>
        <row r="1327">
          <cell r="C1327">
            <v>15305003</v>
          </cell>
        </row>
        <row r="1328">
          <cell r="C1328">
            <v>15305004</v>
          </cell>
        </row>
        <row r="1329">
          <cell r="C1329">
            <v>15305005</v>
          </cell>
        </row>
        <row r="1330">
          <cell r="C1330">
            <v>15305006</v>
          </cell>
        </row>
        <row r="1331">
          <cell r="C1331">
            <v>15306001</v>
          </cell>
        </row>
        <row r="1332">
          <cell r="C1332">
            <v>15306002</v>
          </cell>
        </row>
        <row r="1333">
          <cell r="C1333">
            <v>15306003</v>
          </cell>
        </row>
        <row r="1334">
          <cell r="C1334">
            <v>15307001</v>
          </cell>
        </row>
        <row r="1335">
          <cell r="C1335">
            <v>15307002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L12" sqref="L12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22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22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22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22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22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22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22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22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22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22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22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22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22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22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22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22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22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22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22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22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22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22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22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22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22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22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22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22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22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22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22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22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22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22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22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22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22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22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22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22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22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22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22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22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22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22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22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22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23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22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22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23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23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22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23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23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22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23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22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22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23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23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23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CP23:CP25"/>
    <mergeCell ref="CP26:CP28"/>
    <mergeCell ref="CP8:CP10"/>
    <mergeCell ref="CP11:CP13"/>
    <mergeCell ref="CP14:CP16"/>
    <mergeCell ref="CP17:CP19"/>
    <mergeCell ref="CP20:CP22"/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L3" sqref="L3:O1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LOOKUP(Q96,[2]ItemProto!$C$858:$C$1335,[2]ItemProto!$S$858:$S$1335)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LOOKUP(W96,[2]ItemProto!$C$858:$C$1335,[2]ItemProto!$S$858:$S$1335)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LOOKUP(AC96,[2]ItemProto!$C$858:$C$1335,[2]ItemProto!$S$858:$S$1335)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LOOKUP(Q97,[2]ItemProto!$C$858:$C$1335,[2]ItemProto!$S$858:$S$1335)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LOOKUP(W97,[2]ItemProto!$C$858:$C$1335,[2]ItemProto!$S$858:$S$1335)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LOOKUP(AC97,[2]ItemProto!$C$858:$C$1335,[2]ItemProto!$S$858:$S$1335)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LOOKUP(Q98,[2]ItemProto!$C$858:$C$1335,[2]ItemProto!$S$858:$S$1335)</f>
        <v>#N/A</v>
      </c>
      <c r="R98" s="1" t="s">
        <v>1276</v>
      </c>
      <c r="S98" s="3" t="s">
        <v>1277</v>
      </c>
      <c r="T98" s="3"/>
      <c r="U98" s="3"/>
      <c r="V98" s="3">
        <f>LOOKUP(W98,[2]ItemProto!$C$858:$C$1335,[2]ItemProto!$S$858:$S$1335)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LOOKUP(AC98,[2]ItemProto!$C$858:$C$1335,[2]ItemProto!$S$858:$S$1335)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LOOKUP(Q99,[2]ItemProto!$C$858:$C$1335,[2]ItemProto!$S$858:$S$1335)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LOOKUP(W99,[2]ItemProto!$C$858:$C$1335,[2]ItemProto!$S$858:$S$1335)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LOOKUP(AC99,[2]ItemProto!$C$858:$C$1335,[2]ItemProto!$S$858:$S$1335)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LOOKUP(Q100,[2]ItemProto!$C$858:$C$1335,[2]ItemProto!$S$858:$S$1335)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LOOKUP(W100,[2]ItemProto!$C$858:$C$1335,[2]ItemProto!$S$858:$S$1335)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LOOKUP(AC100,[2]ItemProto!$C$858:$C$1335,[2]ItemProto!$S$858:$S$1335)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LOOKUP(AC101,[2]ItemProto!$C$858:$C$1335,[2]ItemProto!$S$858:$S$1335)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LOOKUP(AC105,[2]ItemProto!$C$858:$C$1335,[2]ItemProto!$S$858:$S$1335)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LOOKUP(AC106,[2]ItemProto!$C$858:$C$1335,[2]ItemProto!$S$858:$S$1335)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LOOKUP(AC107,[2]ItemProto!$C$858:$C$1335,[2]ItemProto!$S$858:$S$1335)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LOOKUP(AC108,[2]ItemProto!$C$858:$C$1335,[2]ItemProto!$S$858:$S$1335)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topLeftCell="A19"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A8: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210"/>
  <sheetViews>
    <sheetView tabSelected="1" topLeftCell="G121" workbookViewId="0">
      <selection activeCell="S151" sqref="S151"/>
    </sheetView>
  </sheetViews>
  <sheetFormatPr defaultColWidth="9" defaultRowHeight="14.25"/>
  <cols>
    <col min="2" max="2" width="12.5" customWidth="1"/>
    <col min="3" max="3" width="15.125" customWidth="1"/>
    <col min="4" max="4" width="21.25" customWidth="1"/>
    <col min="5" max="5" width="18" customWidth="1"/>
    <col min="6" max="6" width="21.875" customWidth="1"/>
    <col min="7" max="7" width="18.125" customWidth="1"/>
    <col min="8" max="8" width="13.125" customWidth="1"/>
    <col min="9" max="9" width="11.625" customWidth="1"/>
    <col min="10" max="10" width="13.12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18" max="18" width="13.625" customWidth="1"/>
    <col min="19" max="19" width="32.125" customWidth="1"/>
    <col min="20" max="20" width="20" customWidth="1"/>
    <col min="21" max="21" width="13" customWidth="1"/>
    <col min="22" max="22" width="13.375" customWidth="1"/>
    <col min="23" max="23" width="15" customWidth="1"/>
    <col min="24" max="24" width="14.87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 ht="20.100000000000001" customHeight="1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 ht="20.100000000000001" customHeight="1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 ht="20.100000000000001" customHeight="1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 ht="20.100000000000001" customHeight="1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 ht="20.100000000000001" customHeight="1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 ht="20.100000000000001" customHeight="1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 ht="20.100000000000001" customHeight="1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 ht="20.100000000000001" customHeight="1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 ht="20.100000000000001" customHeight="1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 ht="20.100000000000001" customHeight="1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 ht="20.100000000000001" customHeight="1">
      <c r="B112" s="1">
        <v>80001021</v>
      </c>
      <c r="C112" s="1" t="s">
        <v>1783</v>
      </c>
      <c r="D112" s="1">
        <v>80002021</v>
      </c>
      <c r="E112" s="1" t="s">
        <v>2388</v>
      </c>
      <c r="J112" s="1"/>
      <c r="K112" s="1" t="s">
        <v>2424</v>
      </c>
      <c r="L112" s="1"/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 ht="20.100000000000001" customHeight="1">
      <c r="B113" s="1">
        <v>80001022</v>
      </c>
      <c r="C113" s="1" t="s">
        <v>2376</v>
      </c>
      <c r="D113" s="1">
        <v>80002022</v>
      </c>
      <c r="E113" s="1" t="s">
        <v>2382</v>
      </c>
      <c r="J113" s="1">
        <v>1</v>
      </c>
      <c r="K113" s="1">
        <v>1</v>
      </c>
      <c r="L113" s="1"/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 ht="20.100000000000001" customHeight="1">
      <c r="B114" s="1">
        <v>80001023</v>
      </c>
      <c r="C114" s="1" t="s">
        <v>429</v>
      </c>
      <c r="D114" s="1">
        <v>80002023</v>
      </c>
      <c r="E114" s="1" t="s">
        <v>2398</v>
      </c>
      <c r="J114" s="1">
        <v>2</v>
      </c>
      <c r="K114" s="1">
        <v>0.8</v>
      </c>
      <c r="L114" s="1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 ht="20.100000000000001" customHeight="1">
      <c r="B115" s="1">
        <v>80001024</v>
      </c>
      <c r="C115" s="1" t="s">
        <v>2378</v>
      </c>
      <c r="D115" s="1">
        <v>80002024</v>
      </c>
      <c r="E115" s="1" t="s">
        <v>2408</v>
      </c>
      <c r="J115" s="1">
        <v>3</v>
      </c>
      <c r="K115" s="1">
        <v>0.6</v>
      </c>
      <c r="L115" s="1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 ht="20.100000000000001" customHeight="1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 ht="20.100000000000001" customHeight="1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 ht="20.100000000000001" customHeight="1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 ht="20.100000000000001" customHeight="1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 ht="20.100000000000001" customHeight="1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 ht="20.100000000000001" customHeight="1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 ht="20.100000000000001" customHeight="1">
      <c r="AJ122">
        <v>1</v>
      </c>
    </row>
    <row r="123" spans="2:36" ht="20.100000000000001" customHeight="1">
      <c r="B123" s="1" t="s">
        <v>3128</v>
      </c>
      <c r="AI123">
        <v>80001007</v>
      </c>
      <c r="AJ123">
        <v>1</v>
      </c>
    </row>
    <row r="124" spans="2:36" ht="20.100000000000001" customHeight="1">
      <c r="B124" s="5"/>
      <c r="C124" s="5"/>
      <c r="D124" s="5"/>
      <c r="AI124">
        <v>80001023</v>
      </c>
      <c r="AJ124">
        <v>1</v>
      </c>
    </row>
    <row r="125" spans="2:36" ht="20.100000000000001" customHeight="1">
      <c r="B125" s="1">
        <v>1</v>
      </c>
      <c r="C125" s="1" t="s">
        <v>3129</v>
      </c>
      <c r="D125" s="1" t="s">
        <v>3163</v>
      </c>
      <c r="F125" s="120" t="s">
        <v>3158</v>
      </c>
      <c r="G125" s="120" t="s">
        <v>3165</v>
      </c>
      <c r="K125" s="1" t="s">
        <v>3135</v>
      </c>
      <c r="AI125">
        <v>80001021</v>
      </c>
      <c r="AJ125">
        <v>1</v>
      </c>
    </row>
    <row r="126" spans="2:36" ht="20.100000000000001" customHeight="1">
      <c r="B126" s="1"/>
      <c r="C126" s="1"/>
      <c r="D126" s="1"/>
      <c r="J126" s="51">
        <v>10000131</v>
      </c>
      <c r="K126" s="52" t="s">
        <v>3139</v>
      </c>
      <c r="N126" s="5"/>
      <c r="O126" s="5"/>
      <c r="P126" s="5"/>
      <c r="AI126">
        <v>80002006</v>
      </c>
      <c r="AJ126">
        <v>1</v>
      </c>
    </row>
    <row r="127" spans="2:36" ht="20.100000000000001" customHeight="1">
      <c r="B127" s="1">
        <v>2</v>
      </c>
      <c r="C127" s="1" t="s">
        <v>3130</v>
      </c>
      <c r="D127" s="1" t="s">
        <v>3160</v>
      </c>
      <c r="F127" s="120">
        <v>130003</v>
      </c>
      <c r="G127" s="120">
        <v>231003</v>
      </c>
      <c r="J127" s="51">
        <v>10000168</v>
      </c>
      <c r="K127" s="52" t="s">
        <v>3137</v>
      </c>
      <c r="N127" s="5"/>
      <c r="O127" s="1" t="s">
        <v>3136</v>
      </c>
      <c r="P127" s="5"/>
      <c r="AI127">
        <v>80001022</v>
      </c>
      <c r="AJ127">
        <v>1</v>
      </c>
    </row>
    <row r="128" spans="2:36" ht="20.100000000000001" customHeight="1">
      <c r="B128" s="1"/>
      <c r="C128" s="1"/>
      <c r="D128" s="1"/>
      <c r="J128" s="51">
        <v>10000169</v>
      </c>
      <c r="K128" s="52" t="s">
        <v>3138</v>
      </c>
      <c r="N128" s="5"/>
      <c r="O128" s="1" t="s">
        <v>3164</v>
      </c>
      <c r="P128" s="5"/>
      <c r="AI128">
        <v>80001024</v>
      </c>
      <c r="AJ128">
        <v>1</v>
      </c>
    </row>
    <row r="129" spans="2:36" ht="20.100000000000001" customHeight="1">
      <c r="B129" s="1">
        <v>3</v>
      </c>
      <c r="C129" s="1" t="s">
        <v>3131</v>
      </c>
      <c r="D129" s="1" t="s">
        <v>3161</v>
      </c>
      <c r="E129" s="1" t="s">
        <v>3162</v>
      </c>
      <c r="F129" s="120">
        <v>130203</v>
      </c>
      <c r="G129" s="120">
        <v>230503</v>
      </c>
      <c r="H129" s="1">
        <v>230603</v>
      </c>
      <c r="N129" s="5"/>
      <c r="O129" s="5"/>
      <c r="P129" s="5"/>
      <c r="AI129">
        <v>80001028</v>
      </c>
      <c r="AJ129">
        <v>1</v>
      </c>
    </row>
    <row r="130" spans="2:36" ht="20.100000000000001" customHeight="1">
      <c r="B130" s="1"/>
      <c r="C130" s="1"/>
      <c r="D130" s="1"/>
      <c r="H130" s="1"/>
      <c r="AI130">
        <v>80001023</v>
      </c>
      <c r="AJ130">
        <v>1</v>
      </c>
    </row>
    <row r="131" spans="2:36" ht="20.100000000000001" customHeight="1">
      <c r="B131" s="1">
        <v>4</v>
      </c>
      <c r="C131" s="1" t="s">
        <v>3132</v>
      </c>
      <c r="D131" s="1" t="s">
        <v>3161</v>
      </c>
      <c r="E131" s="1" t="s">
        <v>3162</v>
      </c>
      <c r="F131" s="120">
        <v>130303</v>
      </c>
      <c r="G131" s="120">
        <v>230503</v>
      </c>
      <c r="H131" s="1">
        <v>230603</v>
      </c>
      <c r="AI131">
        <v>80001027</v>
      </c>
      <c r="AJ131">
        <v>1</v>
      </c>
    </row>
    <row r="132" spans="2:36" ht="20.100000000000001" customHeight="1">
      <c r="B132" s="1"/>
      <c r="C132" s="1"/>
      <c r="D132" s="1"/>
      <c r="H132" s="1"/>
      <c r="AI132">
        <v>80001026</v>
      </c>
      <c r="AJ132">
        <v>1</v>
      </c>
    </row>
    <row r="133" spans="2:36" ht="20.100000000000001" customHeight="1">
      <c r="B133" s="1">
        <v>5</v>
      </c>
      <c r="C133" s="1" t="s">
        <v>3133</v>
      </c>
      <c r="D133" s="1" t="s">
        <v>3134</v>
      </c>
      <c r="E133" s="1" t="s">
        <v>3159</v>
      </c>
      <c r="F133" s="120">
        <v>130403</v>
      </c>
      <c r="G133" s="120">
        <v>231403</v>
      </c>
      <c r="H133" s="1">
        <v>230703</v>
      </c>
      <c r="AI133">
        <v>80001028</v>
      </c>
      <c r="AJ133">
        <v>1</v>
      </c>
    </row>
    <row r="134" spans="2:36" ht="20.100000000000001" customHeight="1">
      <c r="B134" s="5"/>
      <c r="C134" s="5"/>
      <c r="D134" s="3"/>
      <c r="E134" s="13"/>
      <c r="K134" s="1"/>
      <c r="U134" s="5"/>
      <c r="V134" s="5"/>
      <c r="W134" s="5"/>
      <c r="X134" s="5"/>
      <c r="AI134">
        <v>80001025</v>
      </c>
      <c r="AJ134">
        <v>1</v>
      </c>
    </row>
    <row r="135" spans="2:36" ht="20.100000000000001" customHeight="1">
      <c r="U135" s="5"/>
      <c r="V135" s="1"/>
      <c r="W135" s="1"/>
      <c r="X135" s="1"/>
      <c r="Y135" s="13"/>
      <c r="AI135">
        <v>80002022</v>
      </c>
      <c r="AJ135">
        <v>1</v>
      </c>
    </row>
    <row r="136" spans="2:36" ht="20.100000000000001" customHeight="1">
      <c r="H136" s="1" t="s">
        <v>3140</v>
      </c>
      <c r="I136" s="1" t="s">
        <v>3149</v>
      </c>
      <c r="J136" s="1">
        <v>1</v>
      </c>
      <c r="K136" s="1">
        <v>1000000</v>
      </c>
      <c r="L136" s="1" t="s">
        <v>3137</v>
      </c>
      <c r="M136" s="1">
        <v>10000168</v>
      </c>
      <c r="N136" s="1">
        <v>20</v>
      </c>
      <c r="O136" s="1">
        <v>10000169</v>
      </c>
      <c r="P136" s="1" t="s">
        <v>3138</v>
      </c>
      <c r="Q136" s="1">
        <v>5</v>
      </c>
      <c r="S136" s="3" t="str">
        <f>M136&amp;";"&amp;N136&amp;"@"&amp;O136&amp;";"&amp;Q136</f>
        <v>10000168;20@10000169;5</v>
      </c>
      <c r="U136" s="5"/>
      <c r="V136" s="1" t="s">
        <v>3175</v>
      </c>
      <c r="W136" s="1"/>
      <c r="X136" s="1"/>
      <c r="Y136" s="13"/>
      <c r="AI136">
        <v>80002019</v>
      </c>
      <c r="AJ136">
        <v>1</v>
      </c>
    </row>
    <row r="137" spans="2:36" ht="20.100000000000001" customHeight="1">
      <c r="D137" s="1" t="s">
        <v>3162</v>
      </c>
      <c r="E137" s="1" t="s">
        <v>3178</v>
      </c>
      <c r="H137" s="1" t="s">
        <v>3141</v>
      </c>
      <c r="I137" s="1" t="s">
        <v>3149</v>
      </c>
      <c r="J137" s="1">
        <v>1</v>
      </c>
      <c r="K137" s="1">
        <v>2000000</v>
      </c>
      <c r="L137" s="1" t="s">
        <v>3137</v>
      </c>
      <c r="M137" s="1">
        <v>10000168</v>
      </c>
      <c r="N137" s="1">
        <v>25</v>
      </c>
      <c r="O137" s="1">
        <v>10000169</v>
      </c>
      <c r="P137" s="1" t="s">
        <v>3138</v>
      </c>
      <c r="Q137" s="1">
        <v>5</v>
      </c>
      <c r="S137" s="3" t="str">
        <f t="shared" ref="S137:S155" si="8">M137&amp;";"&amp;N137&amp;"@"&amp;O137&amp;";"&amp;Q137</f>
        <v>10000168;25@10000169;5</v>
      </c>
      <c r="U137" s="5"/>
      <c r="V137" s="1">
        <v>10000169</v>
      </c>
      <c r="W137" s="1" t="s">
        <v>3138</v>
      </c>
      <c r="X137" s="1">
        <v>10</v>
      </c>
      <c r="Y137" s="13" t="str">
        <f>V137&amp;";"&amp;X137</f>
        <v>10000169;10</v>
      </c>
      <c r="AI137">
        <v>80002021</v>
      </c>
      <c r="AJ137">
        <v>1</v>
      </c>
    </row>
    <row r="138" spans="2:36" ht="20.100000000000001" customHeight="1">
      <c r="E138" s="1" t="s">
        <v>3137</v>
      </c>
      <c r="F138" s="1">
        <v>10000168</v>
      </c>
      <c r="G138" s="1">
        <v>10</v>
      </c>
      <c r="H138" s="1" t="s">
        <v>3142</v>
      </c>
      <c r="I138" s="1" t="s">
        <v>3149</v>
      </c>
      <c r="J138" s="1">
        <v>1</v>
      </c>
      <c r="K138" s="1">
        <v>3000000</v>
      </c>
      <c r="L138" s="1" t="s">
        <v>3137</v>
      </c>
      <c r="M138" s="1">
        <v>10000168</v>
      </c>
      <c r="N138" s="1">
        <v>30</v>
      </c>
      <c r="O138" s="1">
        <v>10000169</v>
      </c>
      <c r="P138" s="1" t="s">
        <v>3138</v>
      </c>
      <c r="Q138" s="1">
        <v>5</v>
      </c>
      <c r="S138" s="3" t="str">
        <f t="shared" si="8"/>
        <v>10000168;30@10000169;5</v>
      </c>
      <c r="U138" s="5"/>
      <c r="V138" s="1">
        <v>10000166</v>
      </c>
      <c r="W138" s="1" t="s">
        <v>3136</v>
      </c>
      <c r="X138" s="1">
        <v>120</v>
      </c>
      <c r="Y138" s="13" t="str">
        <f t="shared" ref="Y138:Y141" si="9">V138&amp;";"&amp;X138</f>
        <v>10000166;120</v>
      </c>
      <c r="AI138">
        <v>80002027</v>
      </c>
      <c r="AJ138">
        <v>1</v>
      </c>
    </row>
    <row r="139" spans="2:36" ht="20.100000000000001" customHeight="1">
      <c r="D139" s="1" t="s">
        <v>3162</v>
      </c>
      <c r="F139" s="105"/>
      <c r="H139" s="1" t="s">
        <v>3143</v>
      </c>
      <c r="I139" s="1" t="s">
        <v>3149</v>
      </c>
      <c r="J139" s="1">
        <v>1</v>
      </c>
      <c r="K139" s="1">
        <v>4000000</v>
      </c>
      <c r="L139" s="1" t="s">
        <v>3137</v>
      </c>
      <c r="M139" s="1">
        <v>10000168</v>
      </c>
      <c r="N139" s="1">
        <v>40</v>
      </c>
      <c r="O139" s="1">
        <v>10000169</v>
      </c>
      <c r="P139" s="1" t="s">
        <v>3138</v>
      </c>
      <c r="Q139" s="1">
        <v>5</v>
      </c>
      <c r="S139" s="3" t="str">
        <f t="shared" si="8"/>
        <v>10000168;40@10000169;5</v>
      </c>
      <c r="U139" s="5"/>
      <c r="V139" s="1">
        <v>10000143</v>
      </c>
      <c r="W139" s="1" t="s">
        <v>3176</v>
      </c>
      <c r="X139" s="1">
        <v>50</v>
      </c>
      <c r="Y139" s="13" t="str">
        <f t="shared" si="9"/>
        <v>10000143;50</v>
      </c>
      <c r="AI139">
        <v>80002023</v>
      </c>
      <c r="AJ139">
        <v>1</v>
      </c>
    </row>
    <row r="140" spans="2:36" ht="20.100000000000001" customHeight="1">
      <c r="D140" s="13"/>
      <c r="H140" s="1" t="s">
        <v>3144</v>
      </c>
      <c r="I140" s="1" t="s">
        <v>3149</v>
      </c>
      <c r="J140" s="1">
        <v>1</v>
      </c>
      <c r="K140" s="1">
        <v>5000000</v>
      </c>
      <c r="L140" s="1" t="s">
        <v>3137</v>
      </c>
      <c r="M140" s="1">
        <v>10000168</v>
      </c>
      <c r="N140" s="1">
        <v>50</v>
      </c>
      <c r="O140" s="1">
        <v>10000169</v>
      </c>
      <c r="P140" s="1" t="s">
        <v>3138</v>
      </c>
      <c r="Q140" s="1">
        <v>5</v>
      </c>
      <c r="S140" s="3" t="str">
        <f t="shared" si="8"/>
        <v>10000168;50@10000169;5</v>
      </c>
      <c r="U140" s="5"/>
      <c r="V140" s="51">
        <v>10000168</v>
      </c>
      <c r="W140" s="52" t="s">
        <v>3137</v>
      </c>
      <c r="X140" s="1">
        <v>100</v>
      </c>
      <c r="Y140" s="13" t="str">
        <f t="shared" si="9"/>
        <v>10000168;100</v>
      </c>
      <c r="AI140">
        <v>80002003</v>
      </c>
      <c r="AJ140">
        <v>1</v>
      </c>
    </row>
    <row r="141" spans="2:36" ht="20.100000000000001" customHeight="1">
      <c r="D141" s="1" t="s">
        <v>3159</v>
      </c>
      <c r="H141" s="1" t="s">
        <v>3145</v>
      </c>
      <c r="I141" s="1" t="s">
        <v>3149</v>
      </c>
      <c r="J141" s="1">
        <v>1</v>
      </c>
      <c r="K141" s="1">
        <v>6000000</v>
      </c>
      <c r="L141" s="1" t="s">
        <v>3137</v>
      </c>
      <c r="M141" s="1">
        <v>10000168</v>
      </c>
      <c r="N141" s="1">
        <v>60</v>
      </c>
      <c r="O141" s="1">
        <v>10000169</v>
      </c>
      <c r="P141" s="1" t="s">
        <v>3138</v>
      </c>
      <c r="Q141" s="1">
        <v>10</v>
      </c>
      <c r="S141" s="3" t="str">
        <f t="shared" si="8"/>
        <v>10000168;60@10000169;10</v>
      </c>
      <c r="U141" s="5"/>
      <c r="V141" s="51">
        <v>10010086</v>
      </c>
      <c r="W141" s="108" t="s">
        <v>2845</v>
      </c>
      <c r="X141" s="13">
        <v>30</v>
      </c>
      <c r="Y141" s="13" t="str">
        <f t="shared" si="9"/>
        <v>10010086;30</v>
      </c>
    </row>
    <row r="142" spans="2:36" ht="20.100000000000001" customHeight="1">
      <c r="D142" s="13"/>
      <c r="H142" s="1" t="s">
        <v>3146</v>
      </c>
      <c r="I142" s="1" t="s">
        <v>3149</v>
      </c>
      <c r="J142" s="1">
        <v>1</v>
      </c>
      <c r="K142" s="1">
        <v>7000000</v>
      </c>
      <c r="L142" s="1" t="s">
        <v>3137</v>
      </c>
      <c r="M142" s="1">
        <v>10000168</v>
      </c>
      <c r="N142" s="1">
        <v>70</v>
      </c>
      <c r="O142" s="1">
        <v>10000169</v>
      </c>
      <c r="P142" s="1" t="s">
        <v>3138</v>
      </c>
      <c r="Q142" s="1">
        <v>10</v>
      </c>
      <c r="S142" s="3" t="str">
        <f t="shared" si="8"/>
        <v>10000168;70@10000169;10</v>
      </c>
      <c r="U142" s="5"/>
    </row>
    <row r="143" spans="2:36" ht="20.100000000000001" customHeight="1">
      <c r="D143" s="1" t="s">
        <v>3159</v>
      </c>
      <c r="H143" s="1" t="s">
        <v>3147</v>
      </c>
      <c r="I143" s="1" t="s">
        <v>3149</v>
      </c>
      <c r="J143" s="1">
        <v>1</v>
      </c>
      <c r="K143" s="1">
        <v>8000000</v>
      </c>
      <c r="L143" s="1" t="s">
        <v>3137</v>
      </c>
      <c r="M143" s="1">
        <v>10000168</v>
      </c>
      <c r="N143" s="1">
        <v>80</v>
      </c>
      <c r="O143" s="1">
        <v>10000169</v>
      </c>
      <c r="P143" s="1" t="s">
        <v>3138</v>
      </c>
      <c r="Q143" s="1">
        <v>10</v>
      </c>
      <c r="S143" s="3" t="str">
        <f t="shared" si="8"/>
        <v>10000168;80@10000169;10</v>
      </c>
      <c r="U143" s="5"/>
      <c r="V143" s="1"/>
      <c r="W143" s="1" t="s">
        <v>3177</v>
      </c>
      <c r="X143" s="1">
        <v>1</v>
      </c>
      <c r="Y143" s="13" t="str">
        <f>Y137&amp;"@"&amp;Y138&amp;"@"&amp;Y139&amp;"@"&amp;Y140&amp;"@"&amp;Y141</f>
        <v>10000169;10@10000166;120@10000143;50@10000168;100@10010086;30</v>
      </c>
    </row>
    <row r="144" spans="2:36" ht="20.100000000000001" customHeight="1">
      <c r="D144" s="13"/>
      <c r="H144" s="1" t="s">
        <v>3148</v>
      </c>
      <c r="I144" s="1" t="s">
        <v>3149</v>
      </c>
      <c r="J144" s="1">
        <v>1</v>
      </c>
      <c r="K144" s="1">
        <v>9000000</v>
      </c>
      <c r="L144" s="1" t="s">
        <v>3137</v>
      </c>
      <c r="M144" s="1">
        <v>10000168</v>
      </c>
      <c r="N144" s="1">
        <v>90</v>
      </c>
      <c r="O144" s="1">
        <v>10000169</v>
      </c>
      <c r="P144" s="1" t="s">
        <v>3138</v>
      </c>
      <c r="Q144" s="1">
        <v>10</v>
      </c>
      <c r="S144" s="3" t="str">
        <f t="shared" si="8"/>
        <v>10000168;90@10000169;10</v>
      </c>
      <c r="U144" s="5"/>
      <c r="V144" s="5"/>
      <c r="W144" s="5"/>
      <c r="X144" s="5"/>
    </row>
    <row r="145" spans="4:24" ht="20.100000000000001" customHeight="1">
      <c r="D145" s="1" t="s">
        <v>3159</v>
      </c>
      <c r="H145" s="1" t="s">
        <v>1328</v>
      </c>
      <c r="I145" s="1" t="s">
        <v>3149</v>
      </c>
      <c r="J145" s="1">
        <v>1</v>
      </c>
      <c r="K145" s="1">
        <v>10000000</v>
      </c>
      <c r="L145" s="1" t="s">
        <v>3137</v>
      </c>
      <c r="M145" s="1">
        <v>10000168</v>
      </c>
      <c r="N145" s="1">
        <v>100</v>
      </c>
      <c r="O145" s="1">
        <v>10000169</v>
      </c>
      <c r="P145" s="1" t="s">
        <v>3138</v>
      </c>
      <c r="Q145" s="1">
        <v>10</v>
      </c>
      <c r="S145" s="3" t="str">
        <f t="shared" si="8"/>
        <v>10000168;100@10000169;10</v>
      </c>
      <c r="U145" s="5"/>
      <c r="V145" s="5"/>
      <c r="W145" s="5"/>
      <c r="X145" s="5"/>
    </row>
    <row r="146" spans="4:24" ht="20.100000000000001" customHeight="1">
      <c r="H146" s="1" t="s">
        <v>3150</v>
      </c>
      <c r="I146" s="1" t="s">
        <v>3149</v>
      </c>
      <c r="J146" s="1">
        <v>1</v>
      </c>
      <c r="K146" s="1">
        <v>12000000</v>
      </c>
      <c r="L146" s="1" t="s">
        <v>3137</v>
      </c>
      <c r="M146" s="1">
        <v>10000168</v>
      </c>
      <c r="N146" s="1">
        <v>120</v>
      </c>
      <c r="O146" s="1">
        <v>10000169</v>
      </c>
      <c r="P146" s="1" t="s">
        <v>3138</v>
      </c>
      <c r="Q146" s="1">
        <v>20</v>
      </c>
      <c r="S146" s="3" t="str">
        <f t="shared" si="8"/>
        <v>10000168;120@10000169;20</v>
      </c>
      <c r="U146" s="5"/>
      <c r="V146" s="5"/>
      <c r="W146" s="5"/>
      <c r="X146" s="5"/>
    </row>
    <row r="147" spans="4:24" ht="20.100000000000001" customHeight="1">
      <c r="H147" s="1" t="s">
        <v>3151</v>
      </c>
      <c r="I147" s="1" t="s">
        <v>3149</v>
      </c>
      <c r="J147" s="1">
        <v>1</v>
      </c>
      <c r="K147" s="1">
        <v>14000000</v>
      </c>
      <c r="L147" s="1" t="s">
        <v>3137</v>
      </c>
      <c r="M147" s="1">
        <v>10000168</v>
      </c>
      <c r="N147" s="1">
        <v>140</v>
      </c>
      <c r="O147" s="1">
        <v>10000169</v>
      </c>
      <c r="P147" s="1" t="s">
        <v>3138</v>
      </c>
      <c r="Q147" s="1">
        <v>20</v>
      </c>
      <c r="S147" s="3" t="str">
        <f t="shared" si="8"/>
        <v>10000168;140@10000169;20</v>
      </c>
      <c r="U147" s="5"/>
      <c r="V147" s="5"/>
      <c r="W147" s="5"/>
      <c r="X147" s="5"/>
    </row>
    <row r="148" spans="4:24" ht="20.100000000000001" customHeight="1">
      <c r="H148" s="1" t="s">
        <v>3152</v>
      </c>
      <c r="I148" s="1" t="s">
        <v>3149</v>
      </c>
      <c r="J148" s="1">
        <v>1</v>
      </c>
      <c r="K148" s="1">
        <v>16000000</v>
      </c>
      <c r="L148" s="1" t="s">
        <v>3137</v>
      </c>
      <c r="M148" s="1">
        <v>10000168</v>
      </c>
      <c r="N148" s="1">
        <v>160</v>
      </c>
      <c r="O148" s="1">
        <v>10000169</v>
      </c>
      <c r="P148" s="1" t="s">
        <v>3138</v>
      </c>
      <c r="Q148" s="1">
        <v>20</v>
      </c>
      <c r="S148" s="3" t="str">
        <f t="shared" si="8"/>
        <v>10000168;160@10000169;20</v>
      </c>
    </row>
    <row r="149" spans="4:24" ht="20.100000000000001" customHeight="1">
      <c r="H149" s="1" t="s">
        <v>3153</v>
      </c>
      <c r="I149" s="1" t="s">
        <v>3149</v>
      </c>
      <c r="J149" s="1">
        <v>1</v>
      </c>
      <c r="K149" s="1">
        <v>18000000</v>
      </c>
      <c r="L149" s="1" t="s">
        <v>3137</v>
      </c>
      <c r="M149" s="1">
        <v>10000168</v>
      </c>
      <c r="N149" s="1">
        <v>180</v>
      </c>
      <c r="O149" s="1">
        <v>10000169</v>
      </c>
      <c r="P149" s="1" t="s">
        <v>3138</v>
      </c>
      <c r="Q149" s="1">
        <v>20</v>
      </c>
      <c r="S149" s="3" t="str">
        <f t="shared" si="8"/>
        <v>10000168;180@10000169;20</v>
      </c>
    </row>
    <row r="150" spans="4:24" ht="20.100000000000001" customHeight="1">
      <c r="H150" s="1" t="s">
        <v>3154</v>
      </c>
      <c r="I150" s="1" t="s">
        <v>3149</v>
      </c>
      <c r="J150" s="1">
        <v>1</v>
      </c>
      <c r="K150" s="1">
        <v>20000000</v>
      </c>
      <c r="L150" s="1" t="s">
        <v>3137</v>
      </c>
      <c r="M150" s="1">
        <v>10000168</v>
      </c>
      <c r="N150" s="1">
        <v>200</v>
      </c>
      <c r="O150" s="1">
        <v>10000169</v>
      </c>
      <c r="P150" s="1" t="s">
        <v>3138</v>
      </c>
      <c r="Q150" s="1">
        <v>20</v>
      </c>
      <c r="S150" s="3" t="str">
        <f t="shared" si="8"/>
        <v>10000168;200@10000169;20</v>
      </c>
    </row>
    <row r="151" spans="4:24" ht="20.100000000000001" customHeight="1">
      <c r="H151" s="1" t="s">
        <v>3155</v>
      </c>
      <c r="I151" s="1" t="s">
        <v>3149</v>
      </c>
      <c r="J151" s="1">
        <v>1</v>
      </c>
      <c r="K151" s="1">
        <v>22000000</v>
      </c>
      <c r="L151" s="1" t="s">
        <v>3137</v>
      </c>
      <c r="M151" s="1">
        <v>10000168</v>
      </c>
      <c r="N151" s="1">
        <v>220</v>
      </c>
      <c r="O151" s="1">
        <v>10000169</v>
      </c>
      <c r="P151" s="1" t="s">
        <v>3138</v>
      </c>
      <c r="Q151" s="1">
        <v>30</v>
      </c>
      <c r="S151" s="3" t="str">
        <f t="shared" si="8"/>
        <v>10000168;220@10000169;30</v>
      </c>
    </row>
    <row r="152" spans="4:24" ht="20.100000000000001" customHeight="1">
      <c r="H152" s="1" t="s">
        <v>3156</v>
      </c>
      <c r="I152" s="1" t="s">
        <v>3149</v>
      </c>
      <c r="J152" s="1">
        <v>1</v>
      </c>
      <c r="K152" s="1">
        <v>24000000</v>
      </c>
      <c r="L152" s="1" t="s">
        <v>3137</v>
      </c>
      <c r="M152" s="1">
        <v>10000168</v>
      </c>
      <c r="N152" s="1">
        <v>240</v>
      </c>
      <c r="O152" s="1">
        <v>10000169</v>
      </c>
      <c r="P152" s="1" t="s">
        <v>3138</v>
      </c>
      <c r="Q152" s="1">
        <v>30</v>
      </c>
      <c r="S152" s="3" t="str">
        <f t="shared" si="8"/>
        <v>10000168;240@10000169;30</v>
      </c>
    </row>
    <row r="153" spans="4:24" ht="20.100000000000001" customHeight="1">
      <c r="H153" s="1" t="s">
        <v>50</v>
      </c>
      <c r="I153" s="1" t="s">
        <v>3149</v>
      </c>
      <c r="J153" s="1">
        <v>1</v>
      </c>
      <c r="K153" s="1">
        <v>26000000</v>
      </c>
      <c r="L153" s="1" t="s">
        <v>3137</v>
      </c>
      <c r="M153" s="1">
        <v>10000168</v>
      </c>
      <c r="N153" s="1">
        <v>260</v>
      </c>
      <c r="O153" s="1">
        <v>10000169</v>
      </c>
      <c r="P153" s="1" t="s">
        <v>3138</v>
      </c>
      <c r="Q153" s="1">
        <v>30</v>
      </c>
      <c r="S153" s="3" t="str">
        <f t="shared" si="8"/>
        <v>10000168;260@10000169;30</v>
      </c>
    </row>
    <row r="154" spans="4:24" ht="20.100000000000001" customHeight="1">
      <c r="H154" s="1" t="s">
        <v>3157</v>
      </c>
      <c r="I154" s="1" t="s">
        <v>3149</v>
      </c>
      <c r="J154" s="1">
        <v>1</v>
      </c>
      <c r="K154" s="1">
        <v>28000000</v>
      </c>
      <c r="L154" s="1" t="s">
        <v>3137</v>
      </c>
      <c r="M154" s="1">
        <v>10000168</v>
      </c>
      <c r="N154" s="1">
        <v>280</v>
      </c>
      <c r="O154" s="1">
        <v>10000169</v>
      </c>
      <c r="P154" s="1" t="s">
        <v>3138</v>
      </c>
      <c r="Q154" s="1">
        <v>30</v>
      </c>
      <c r="S154" s="3" t="str">
        <f t="shared" si="8"/>
        <v>10000168;280@10000169;30</v>
      </c>
    </row>
    <row r="155" spans="4:24" ht="20.100000000000001" customHeight="1">
      <c r="H155" s="1" t="s">
        <v>1333</v>
      </c>
      <c r="I155" s="1" t="s">
        <v>3149</v>
      </c>
      <c r="J155" s="1">
        <v>1</v>
      </c>
      <c r="K155" s="1">
        <v>30000000</v>
      </c>
      <c r="L155" s="1" t="s">
        <v>3137</v>
      </c>
      <c r="M155" s="1">
        <v>10000168</v>
      </c>
      <c r="N155" s="1">
        <v>300</v>
      </c>
      <c r="O155" s="1">
        <v>10000169</v>
      </c>
      <c r="P155" s="1" t="s">
        <v>3138</v>
      </c>
      <c r="Q155" s="1">
        <v>30</v>
      </c>
      <c r="R155">
        <f t="shared" ref="R137:R155" si="10">N155/Q155</f>
        <v>10</v>
      </c>
      <c r="S155" s="3" t="str">
        <f t="shared" si="8"/>
        <v>10000168;300@10000169;30</v>
      </c>
    </row>
    <row r="156" spans="4:24" ht="20.100000000000001" customHeight="1">
      <c r="R156" s="1">
        <f>500*5</f>
        <v>2500</v>
      </c>
    </row>
    <row r="157" spans="4:24" ht="20.100000000000001" customHeight="1"/>
    <row r="158" spans="4:24" ht="20.100000000000001" customHeight="1">
      <c r="I158" s="13">
        <v>130003</v>
      </c>
      <c r="J158" s="13"/>
      <c r="K158" s="120">
        <v>231003</v>
      </c>
    </row>
    <row r="159" spans="4:24" ht="20.100000000000001" customHeight="1">
      <c r="F159" s="1">
        <f>H159*1.5</f>
        <v>112.5</v>
      </c>
      <c r="G159" s="1">
        <v>1</v>
      </c>
      <c r="H159" s="1">
        <v>75</v>
      </c>
      <c r="I159" s="1">
        <v>75</v>
      </c>
      <c r="J159" s="13" t="str">
        <f>$I$158&amp;";"&amp;I159</f>
        <v>130003;75</v>
      </c>
      <c r="K159" s="13">
        <v>0.01</v>
      </c>
      <c r="L159" t="str">
        <f>$K$158&amp;";"&amp;K159</f>
        <v>231003;0.01</v>
      </c>
      <c r="P159" t="str">
        <f>J159&amp;"@"&amp;L159</f>
        <v>130003;75@231003;0.01</v>
      </c>
    </row>
    <row r="160" spans="4:24" ht="20.100000000000001" customHeight="1">
      <c r="F160" s="1">
        <f t="shared" ref="F160:F178" si="11">H160*1.5</f>
        <v>112.5</v>
      </c>
      <c r="G160" s="1">
        <v>2</v>
      </c>
      <c r="H160" s="1">
        <v>75</v>
      </c>
      <c r="I160" s="1">
        <f>I159+H159</f>
        <v>150</v>
      </c>
      <c r="J160" s="13" t="str">
        <f t="shared" ref="J160:J178" si="12">$I$158&amp;";"&amp;I160</f>
        <v>130003;150</v>
      </c>
      <c r="K160" s="13">
        <v>0.02</v>
      </c>
      <c r="L160" t="str">
        <f t="shared" ref="L160:L178" si="13">$K$158&amp;";"&amp;K160</f>
        <v>231003;0.02</v>
      </c>
      <c r="P160" t="str">
        <f t="shared" ref="P160:P178" si="14">J160&amp;"@"&amp;L160</f>
        <v>130003;150@231003;0.02</v>
      </c>
    </row>
    <row r="161" spans="6:16" ht="20.100000000000001" customHeight="1">
      <c r="F161" s="1">
        <f t="shared" si="11"/>
        <v>112.5</v>
      </c>
      <c r="G161" s="1">
        <v>3</v>
      </c>
      <c r="H161" s="1">
        <v>75</v>
      </c>
      <c r="I161" s="1">
        <f t="shared" ref="I161:I178" si="15">I160+H160</f>
        <v>225</v>
      </c>
      <c r="J161" s="13" t="str">
        <f t="shared" si="12"/>
        <v>130003;225</v>
      </c>
      <c r="K161" s="13">
        <v>0.03</v>
      </c>
      <c r="L161" t="str">
        <f t="shared" si="13"/>
        <v>231003;0.03</v>
      </c>
      <c r="P161" t="str">
        <f t="shared" si="14"/>
        <v>130003;225@231003;0.03</v>
      </c>
    </row>
    <row r="162" spans="6:16">
      <c r="F162" s="1">
        <f t="shared" si="11"/>
        <v>150</v>
      </c>
      <c r="G162" s="1">
        <v>4</v>
      </c>
      <c r="H162" s="1">
        <v>100</v>
      </c>
      <c r="I162" s="1">
        <f t="shared" si="15"/>
        <v>300</v>
      </c>
      <c r="J162" s="13" t="str">
        <f t="shared" si="12"/>
        <v>130003;300</v>
      </c>
      <c r="K162" s="13">
        <v>0.04</v>
      </c>
      <c r="L162" t="str">
        <f t="shared" si="13"/>
        <v>231003;0.04</v>
      </c>
      <c r="P162" t="str">
        <f t="shared" si="14"/>
        <v>130003;300@231003;0.04</v>
      </c>
    </row>
    <row r="163" spans="6:16">
      <c r="F163" s="1">
        <f t="shared" si="11"/>
        <v>150</v>
      </c>
      <c r="G163" s="1">
        <v>5</v>
      </c>
      <c r="H163" s="1">
        <v>100</v>
      </c>
      <c r="I163" s="1">
        <f t="shared" si="15"/>
        <v>400</v>
      </c>
      <c r="J163" s="13" t="str">
        <f t="shared" si="12"/>
        <v>130003;400</v>
      </c>
      <c r="K163" s="13">
        <v>0.05</v>
      </c>
      <c r="L163" t="str">
        <f t="shared" si="13"/>
        <v>231003;0.05</v>
      </c>
      <c r="P163" t="str">
        <f t="shared" si="14"/>
        <v>130003;400@231003;0.05</v>
      </c>
    </row>
    <row r="164" spans="6:16">
      <c r="F164" s="1">
        <f t="shared" si="11"/>
        <v>225</v>
      </c>
      <c r="G164" s="1">
        <v>6</v>
      </c>
      <c r="H164" s="1">
        <v>150</v>
      </c>
      <c r="I164" s="1">
        <f t="shared" si="15"/>
        <v>500</v>
      </c>
      <c r="J164" s="13" t="str">
        <f t="shared" si="12"/>
        <v>130003;500</v>
      </c>
      <c r="K164" s="13">
        <v>0.06</v>
      </c>
      <c r="L164" t="str">
        <f t="shared" si="13"/>
        <v>231003;0.06</v>
      </c>
      <c r="P164" t="str">
        <f t="shared" si="14"/>
        <v>130003;500@231003;0.06</v>
      </c>
    </row>
    <row r="165" spans="6:16">
      <c r="F165" s="1">
        <f t="shared" si="11"/>
        <v>225</v>
      </c>
      <c r="G165" s="1">
        <v>7</v>
      </c>
      <c r="H165" s="1">
        <v>150</v>
      </c>
      <c r="I165" s="1">
        <f t="shared" si="15"/>
        <v>650</v>
      </c>
      <c r="J165" s="13" t="str">
        <f t="shared" si="12"/>
        <v>130003;650</v>
      </c>
      <c r="K165" s="13">
        <v>7.0000000000000007E-2</v>
      </c>
      <c r="L165" t="str">
        <f t="shared" si="13"/>
        <v>231003;0.07</v>
      </c>
      <c r="P165" t="str">
        <f t="shared" si="14"/>
        <v>130003;650@231003;0.07</v>
      </c>
    </row>
    <row r="166" spans="6:16">
      <c r="F166" s="1">
        <f t="shared" si="11"/>
        <v>300</v>
      </c>
      <c r="G166" s="1">
        <v>8</v>
      </c>
      <c r="H166" s="1">
        <v>200</v>
      </c>
      <c r="I166" s="1">
        <f t="shared" si="15"/>
        <v>800</v>
      </c>
      <c r="J166" s="13" t="str">
        <f t="shared" si="12"/>
        <v>130003;800</v>
      </c>
      <c r="K166" s="13">
        <v>0.08</v>
      </c>
      <c r="L166" t="str">
        <f t="shared" si="13"/>
        <v>231003;0.08</v>
      </c>
      <c r="P166" t="str">
        <f t="shared" si="14"/>
        <v>130003;800@231003;0.08</v>
      </c>
    </row>
    <row r="167" spans="6:16">
      <c r="F167" s="1">
        <f t="shared" si="11"/>
        <v>300</v>
      </c>
      <c r="G167" s="1">
        <v>9</v>
      </c>
      <c r="H167" s="1">
        <v>200</v>
      </c>
      <c r="I167" s="1">
        <f t="shared" si="15"/>
        <v>1000</v>
      </c>
      <c r="J167" s="13" t="str">
        <f t="shared" si="12"/>
        <v>130003;1000</v>
      </c>
      <c r="K167" s="13">
        <v>0.09</v>
      </c>
      <c r="L167" t="str">
        <f t="shared" si="13"/>
        <v>231003;0.09</v>
      </c>
      <c r="P167" t="str">
        <f t="shared" si="14"/>
        <v>130003;1000@231003;0.09</v>
      </c>
    </row>
    <row r="168" spans="6:16">
      <c r="F168" s="1">
        <f t="shared" si="11"/>
        <v>375</v>
      </c>
      <c r="G168" s="1">
        <v>10</v>
      </c>
      <c r="H168" s="1">
        <v>250</v>
      </c>
      <c r="I168" s="1">
        <f t="shared" si="15"/>
        <v>1200</v>
      </c>
      <c r="J168" s="13" t="str">
        <f t="shared" si="12"/>
        <v>130003;1200</v>
      </c>
      <c r="K168" s="13">
        <v>0.1</v>
      </c>
      <c r="L168" t="str">
        <f t="shared" si="13"/>
        <v>231003;0.1</v>
      </c>
      <c r="P168" t="str">
        <f t="shared" si="14"/>
        <v>130003;1200@231003;0.1</v>
      </c>
    </row>
    <row r="169" spans="6:16">
      <c r="F169" s="1">
        <f t="shared" si="11"/>
        <v>375</v>
      </c>
      <c r="G169" s="1">
        <v>11</v>
      </c>
      <c r="H169" s="1">
        <v>250</v>
      </c>
      <c r="I169" s="1">
        <f t="shared" si="15"/>
        <v>1450</v>
      </c>
      <c r="J169" s="13" t="str">
        <f t="shared" si="12"/>
        <v>130003;1450</v>
      </c>
      <c r="K169" s="13">
        <v>0.11</v>
      </c>
      <c r="L169" t="str">
        <f t="shared" si="13"/>
        <v>231003;0.11</v>
      </c>
      <c r="P169" t="str">
        <f t="shared" si="14"/>
        <v>130003;1450@231003;0.11</v>
      </c>
    </row>
    <row r="170" spans="6:16">
      <c r="F170" s="1">
        <f t="shared" si="11"/>
        <v>450</v>
      </c>
      <c r="G170" s="1">
        <v>12</v>
      </c>
      <c r="H170" s="1">
        <v>300</v>
      </c>
      <c r="I170" s="1">
        <f t="shared" si="15"/>
        <v>1700</v>
      </c>
      <c r="J170" s="13" t="str">
        <f t="shared" si="12"/>
        <v>130003;1700</v>
      </c>
      <c r="K170" s="13">
        <v>0.12</v>
      </c>
      <c r="L170" t="str">
        <f t="shared" si="13"/>
        <v>231003;0.12</v>
      </c>
      <c r="P170" t="str">
        <f t="shared" si="14"/>
        <v>130003;1700@231003;0.12</v>
      </c>
    </row>
    <row r="171" spans="6:16">
      <c r="F171" s="1">
        <f t="shared" si="11"/>
        <v>600</v>
      </c>
      <c r="G171" s="1">
        <v>13</v>
      </c>
      <c r="H171" s="1">
        <v>400</v>
      </c>
      <c r="I171" s="1">
        <f t="shared" si="15"/>
        <v>2000</v>
      </c>
      <c r="J171" s="13" t="str">
        <f t="shared" si="12"/>
        <v>130003;2000</v>
      </c>
      <c r="K171" s="13">
        <v>0.13</v>
      </c>
      <c r="L171" t="str">
        <f t="shared" si="13"/>
        <v>231003;0.13</v>
      </c>
      <c r="P171" t="str">
        <f t="shared" si="14"/>
        <v>130003;2000@231003;0.13</v>
      </c>
    </row>
    <row r="172" spans="6:16">
      <c r="F172" s="1">
        <f t="shared" si="11"/>
        <v>900</v>
      </c>
      <c r="G172" s="1">
        <v>14</v>
      </c>
      <c r="H172" s="1">
        <v>600</v>
      </c>
      <c r="I172" s="1">
        <f t="shared" si="15"/>
        <v>2400</v>
      </c>
      <c r="J172" s="13" t="str">
        <f t="shared" si="12"/>
        <v>130003;2400</v>
      </c>
      <c r="K172" s="13">
        <v>0.14000000000000001</v>
      </c>
      <c r="L172" t="str">
        <f t="shared" si="13"/>
        <v>231003;0.14</v>
      </c>
      <c r="P172" t="str">
        <f t="shared" si="14"/>
        <v>130003;2400@231003;0.14</v>
      </c>
    </row>
    <row r="173" spans="6:16">
      <c r="F173" s="1">
        <f t="shared" si="11"/>
        <v>900</v>
      </c>
      <c r="G173" s="1">
        <v>15</v>
      </c>
      <c r="H173" s="1">
        <v>600</v>
      </c>
      <c r="I173" s="1">
        <f t="shared" si="15"/>
        <v>3000</v>
      </c>
      <c r="J173" s="13" t="str">
        <f t="shared" si="12"/>
        <v>130003;3000</v>
      </c>
      <c r="K173" s="13">
        <v>0.15</v>
      </c>
      <c r="L173" t="str">
        <f t="shared" si="13"/>
        <v>231003;0.15</v>
      </c>
      <c r="P173" t="str">
        <f t="shared" si="14"/>
        <v>130003;3000@231003;0.15</v>
      </c>
    </row>
    <row r="174" spans="6:16">
      <c r="F174" s="1">
        <f t="shared" si="11"/>
        <v>1200</v>
      </c>
      <c r="G174" s="1">
        <v>16</v>
      </c>
      <c r="H174" s="1">
        <v>800</v>
      </c>
      <c r="I174" s="1">
        <f t="shared" si="15"/>
        <v>3600</v>
      </c>
      <c r="J174" s="13" t="str">
        <f t="shared" si="12"/>
        <v>130003;3600</v>
      </c>
      <c r="K174" s="13">
        <v>0.16</v>
      </c>
      <c r="L174" t="str">
        <f t="shared" si="13"/>
        <v>231003;0.16</v>
      </c>
      <c r="P174" t="str">
        <f t="shared" si="14"/>
        <v>130003;3600@231003;0.16</v>
      </c>
    </row>
    <row r="175" spans="6:16">
      <c r="F175" s="1">
        <f t="shared" si="11"/>
        <v>1200</v>
      </c>
      <c r="G175" s="1">
        <v>17</v>
      </c>
      <c r="H175" s="1">
        <v>800</v>
      </c>
      <c r="I175" s="1">
        <f t="shared" si="15"/>
        <v>4400</v>
      </c>
      <c r="J175" s="13" t="str">
        <f t="shared" si="12"/>
        <v>130003;4400</v>
      </c>
      <c r="K175" s="13">
        <v>0.17</v>
      </c>
      <c r="L175" t="str">
        <f t="shared" si="13"/>
        <v>231003;0.17</v>
      </c>
      <c r="P175" t="str">
        <f t="shared" si="14"/>
        <v>130003;4400@231003;0.17</v>
      </c>
    </row>
    <row r="176" spans="6:16">
      <c r="F176" s="1">
        <f t="shared" si="11"/>
        <v>1500</v>
      </c>
      <c r="G176" s="1">
        <v>18</v>
      </c>
      <c r="H176" s="1">
        <v>1000</v>
      </c>
      <c r="I176" s="1">
        <f t="shared" si="15"/>
        <v>5200</v>
      </c>
      <c r="J176" s="13" t="str">
        <f t="shared" si="12"/>
        <v>130003;5200</v>
      </c>
      <c r="K176" s="13">
        <v>0.18</v>
      </c>
      <c r="L176" t="str">
        <f t="shared" si="13"/>
        <v>231003;0.18</v>
      </c>
      <c r="P176" t="str">
        <f t="shared" si="14"/>
        <v>130003;5200@231003;0.18</v>
      </c>
    </row>
    <row r="177" spans="6:16">
      <c r="F177" s="1">
        <f t="shared" si="11"/>
        <v>1500</v>
      </c>
      <c r="G177" s="1">
        <v>19</v>
      </c>
      <c r="H177" s="1">
        <v>1000</v>
      </c>
      <c r="I177" s="1">
        <f t="shared" si="15"/>
        <v>6200</v>
      </c>
      <c r="J177" s="13" t="str">
        <f t="shared" si="12"/>
        <v>130003;6200</v>
      </c>
      <c r="K177" s="13">
        <v>0.19</v>
      </c>
      <c r="L177" t="str">
        <f t="shared" si="13"/>
        <v>231003;0.19</v>
      </c>
      <c r="P177" t="str">
        <f t="shared" si="14"/>
        <v>130003;6200@231003;0.19</v>
      </c>
    </row>
    <row r="178" spans="6:16">
      <c r="F178" s="1">
        <f t="shared" si="11"/>
        <v>1500</v>
      </c>
      <c r="G178" s="1">
        <v>20</v>
      </c>
      <c r="H178" s="1">
        <v>1000</v>
      </c>
      <c r="I178" s="1">
        <f t="shared" si="15"/>
        <v>7200</v>
      </c>
      <c r="J178" s="13" t="str">
        <f t="shared" si="12"/>
        <v>130003;7200</v>
      </c>
      <c r="K178" s="13">
        <v>0.2</v>
      </c>
      <c r="L178" t="str">
        <f t="shared" si="13"/>
        <v>231003;0.2</v>
      </c>
      <c r="P178" t="str">
        <f t="shared" si="14"/>
        <v>130003;7200@231003;0.2</v>
      </c>
    </row>
    <row r="180" spans="6:16">
      <c r="I180" s="120">
        <v>130403</v>
      </c>
      <c r="J180" s="120"/>
      <c r="K180" s="120">
        <v>231403</v>
      </c>
      <c r="L180" s="1"/>
      <c r="M180" s="1">
        <v>230703</v>
      </c>
    </row>
    <row r="181" spans="6:16">
      <c r="F181">
        <f>I181*5</f>
        <v>375</v>
      </c>
      <c r="G181">
        <v>1</v>
      </c>
      <c r="H181" s="1">
        <v>75</v>
      </c>
      <c r="I181" s="1">
        <v>75</v>
      </c>
      <c r="J181" s="13" t="str">
        <f>$I$180&amp;";"&amp;F181</f>
        <v>130403;375</v>
      </c>
      <c r="K181" s="13">
        <v>5.0000000000000001E-3</v>
      </c>
      <c r="L181" t="str">
        <f>$K$180&amp;";"&amp;K181</f>
        <v>231403;0.005</v>
      </c>
      <c r="M181" s="13">
        <v>0.01</v>
      </c>
      <c r="N181" t="str">
        <f>$M$180&amp;";"&amp;M181</f>
        <v>230703;0.01</v>
      </c>
      <c r="P181" t="str">
        <f>J181&amp;"@"&amp;L181&amp;"@"&amp;N181</f>
        <v>130403;375@231403;0.005@230703;0.01</v>
      </c>
    </row>
    <row r="182" spans="6:16">
      <c r="F182">
        <f t="shared" ref="F182:F200" si="16">I182*5</f>
        <v>750</v>
      </c>
      <c r="G182">
        <v>2</v>
      </c>
      <c r="H182" s="1">
        <v>75</v>
      </c>
      <c r="I182" s="1">
        <f>I181+H181</f>
        <v>150</v>
      </c>
      <c r="J182" s="13" t="str">
        <f t="shared" ref="J182:J200" si="17">$I$180&amp;";"&amp;F182</f>
        <v>130403;750</v>
      </c>
      <c r="K182" s="13">
        <v>0.01</v>
      </c>
      <c r="L182" t="str">
        <f t="shared" ref="L182:L200" si="18">$K$180&amp;";"&amp;K182</f>
        <v>231403;0.01</v>
      </c>
      <c r="M182" s="13">
        <v>0.02</v>
      </c>
      <c r="N182" t="str">
        <f t="shared" ref="N182:N200" si="19">$M$180&amp;";"&amp;M182</f>
        <v>230703;0.02</v>
      </c>
      <c r="P182" t="str">
        <f t="shared" ref="P182:P200" si="20">J182&amp;"@"&amp;L182&amp;"@"&amp;N182</f>
        <v>130403;750@231403;0.01@230703;0.02</v>
      </c>
    </row>
    <row r="183" spans="6:16">
      <c r="F183">
        <f t="shared" si="16"/>
        <v>1125</v>
      </c>
      <c r="G183">
        <v>3</v>
      </c>
      <c r="H183" s="1">
        <v>75</v>
      </c>
      <c r="I183" s="1">
        <f t="shared" ref="I183:I200" si="21">I182+H182</f>
        <v>225</v>
      </c>
      <c r="J183" s="13" t="str">
        <f t="shared" si="17"/>
        <v>130403;1125</v>
      </c>
      <c r="K183" s="13">
        <v>1.4999999999999999E-2</v>
      </c>
      <c r="L183" t="str">
        <f t="shared" si="18"/>
        <v>231403;0.015</v>
      </c>
      <c r="M183" s="13">
        <v>0.03</v>
      </c>
      <c r="N183" t="str">
        <f t="shared" si="19"/>
        <v>230703;0.03</v>
      </c>
      <c r="P183" t="str">
        <f t="shared" si="20"/>
        <v>130403;1125@231403;0.015@230703;0.03</v>
      </c>
    </row>
    <row r="184" spans="6:16">
      <c r="F184">
        <f t="shared" si="16"/>
        <v>1500</v>
      </c>
      <c r="G184">
        <v>4</v>
      </c>
      <c r="H184" s="1">
        <v>100</v>
      </c>
      <c r="I184" s="1">
        <f t="shared" si="21"/>
        <v>300</v>
      </c>
      <c r="J184" s="13" t="str">
        <f t="shared" si="17"/>
        <v>130403;1500</v>
      </c>
      <c r="K184" s="13">
        <v>0.02</v>
      </c>
      <c r="L184" t="str">
        <f t="shared" si="18"/>
        <v>231403;0.02</v>
      </c>
      <c r="M184" s="13">
        <v>0.04</v>
      </c>
      <c r="N184" t="str">
        <f t="shared" si="19"/>
        <v>230703;0.04</v>
      </c>
      <c r="P184" t="str">
        <f t="shared" si="20"/>
        <v>130403;1500@231403;0.02@230703;0.04</v>
      </c>
    </row>
    <row r="185" spans="6:16">
      <c r="F185">
        <f t="shared" si="16"/>
        <v>2000</v>
      </c>
      <c r="G185">
        <v>5</v>
      </c>
      <c r="H185" s="1">
        <v>100</v>
      </c>
      <c r="I185" s="1">
        <f t="shared" si="21"/>
        <v>400</v>
      </c>
      <c r="J185" s="13" t="str">
        <f t="shared" si="17"/>
        <v>130403;2000</v>
      </c>
      <c r="K185" s="13">
        <v>2.5000000000000001E-2</v>
      </c>
      <c r="L185" t="str">
        <f t="shared" si="18"/>
        <v>231403;0.025</v>
      </c>
      <c r="M185" s="13">
        <v>0.05</v>
      </c>
      <c r="N185" t="str">
        <f t="shared" si="19"/>
        <v>230703;0.05</v>
      </c>
      <c r="P185" t="str">
        <f t="shared" si="20"/>
        <v>130403;2000@231403;0.025@230703;0.05</v>
      </c>
    </row>
    <row r="186" spans="6:16">
      <c r="F186">
        <f t="shared" si="16"/>
        <v>2500</v>
      </c>
      <c r="G186">
        <v>6</v>
      </c>
      <c r="H186" s="1">
        <v>150</v>
      </c>
      <c r="I186" s="1">
        <f t="shared" si="21"/>
        <v>500</v>
      </c>
      <c r="J186" s="13" t="str">
        <f t="shared" si="17"/>
        <v>130403;2500</v>
      </c>
      <c r="K186" s="13">
        <v>0.03</v>
      </c>
      <c r="L186" t="str">
        <f t="shared" si="18"/>
        <v>231403;0.03</v>
      </c>
      <c r="M186" s="13">
        <v>0.06</v>
      </c>
      <c r="N186" t="str">
        <f t="shared" si="19"/>
        <v>230703;0.06</v>
      </c>
      <c r="P186" t="str">
        <f t="shared" si="20"/>
        <v>130403;2500@231403;0.03@230703;0.06</v>
      </c>
    </row>
    <row r="187" spans="6:16">
      <c r="F187">
        <f t="shared" si="16"/>
        <v>3250</v>
      </c>
      <c r="G187">
        <v>7</v>
      </c>
      <c r="H187" s="1">
        <v>150</v>
      </c>
      <c r="I187" s="1">
        <f t="shared" si="21"/>
        <v>650</v>
      </c>
      <c r="J187" s="13" t="str">
        <f t="shared" si="17"/>
        <v>130403;3250</v>
      </c>
      <c r="K187" s="13">
        <v>3.5000000000000003E-2</v>
      </c>
      <c r="L187" t="str">
        <f t="shared" si="18"/>
        <v>231403;0.035</v>
      </c>
      <c r="M187" s="13">
        <v>7.0000000000000007E-2</v>
      </c>
      <c r="N187" t="str">
        <f t="shared" si="19"/>
        <v>230703;0.07</v>
      </c>
      <c r="P187" t="str">
        <f t="shared" si="20"/>
        <v>130403;3250@231403;0.035@230703;0.07</v>
      </c>
    </row>
    <row r="188" spans="6:16">
      <c r="F188">
        <f t="shared" si="16"/>
        <v>4000</v>
      </c>
      <c r="G188">
        <v>8</v>
      </c>
      <c r="H188" s="1">
        <v>200</v>
      </c>
      <c r="I188" s="1">
        <f t="shared" si="21"/>
        <v>800</v>
      </c>
      <c r="J188" s="13" t="str">
        <f t="shared" si="17"/>
        <v>130403;4000</v>
      </c>
      <c r="K188" s="13">
        <v>0.04</v>
      </c>
      <c r="L188" t="str">
        <f t="shared" si="18"/>
        <v>231403;0.04</v>
      </c>
      <c r="M188" s="13">
        <v>0.08</v>
      </c>
      <c r="N188" t="str">
        <f t="shared" si="19"/>
        <v>230703;0.08</v>
      </c>
      <c r="P188" t="str">
        <f t="shared" si="20"/>
        <v>130403;4000@231403;0.04@230703;0.08</v>
      </c>
    </row>
    <row r="189" spans="6:16">
      <c r="F189">
        <f t="shared" si="16"/>
        <v>5000</v>
      </c>
      <c r="G189">
        <v>9</v>
      </c>
      <c r="H189" s="1">
        <v>200</v>
      </c>
      <c r="I189" s="1">
        <f t="shared" si="21"/>
        <v>1000</v>
      </c>
      <c r="J189" s="13" t="str">
        <f t="shared" si="17"/>
        <v>130403;5000</v>
      </c>
      <c r="K189" s="13">
        <v>4.4999999999999998E-2</v>
      </c>
      <c r="L189" t="str">
        <f t="shared" si="18"/>
        <v>231403;0.045</v>
      </c>
      <c r="M189" s="13">
        <v>0.09</v>
      </c>
      <c r="N189" t="str">
        <f t="shared" si="19"/>
        <v>230703;0.09</v>
      </c>
      <c r="P189" t="str">
        <f t="shared" si="20"/>
        <v>130403;5000@231403;0.045@230703;0.09</v>
      </c>
    </row>
    <row r="190" spans="6:16">
      <c r="F190">
        <f t="shared" si="16"/>
        <v>6000</v>
      </c>
      <c r="G190">
        <v>10</v>
      </c>
      <c r="H190" s="1">
        <v>250</v>
      </c>
      <c r="I190" s="1">
        <f t="shared" si="21"/>
        <v>1200</v>
      </c>
      <c r="J190" s="13" t="str">
        <f t="shared" si="17"/>
        <v>130403;6000</v>
      </c>
      <c r="K190" s="13">
        <v>0.05</v>
      </c>
      <c r="L190" t="str">
        <f t="shared" si="18"/>
        <v>231403;0.05</v>
      </c>
      <c r="M190" s="13">
        <v>0.1</v>
      </c>
      <c r="N190" t="str">
        <f t="shared" si="19"/>
        <v>230703;0.1</v>
      </c>
      <c r="P190" t="str">
        <f t="shared" si="20"/>
        <v>130403;6000@231403;0.05@230703;0.1</v>
      </c>
    </row>
    <row r="191" spans="6:16">
      <c r="F191">
        <f t="shared" si="16"/>
        <v>7250</v>
      </c>
      <c r="G191">
        <v>11</v>
      </c>
      <c r="H191" s="1">
        <v>250</v>
      </c>
      <c r="I191" s="1">
        <f t="shared" si="21"/>
        <v>1450</v>
      </c>
      <c r="J191" s="13" t="str">
        <f t="shared" si="17"/>
        <v>130403;7250</v>
      </c>
      <c r="K191" s="13">
        <v>5.5E-2</v>
      </c>
      <c r="L191" t="str">
        <f t="shared" si="18"/>
        <v>231403;0.055</v>
      </c>
      <c r="M191" s="13">
        <v>0.11</v>
      </c>
      <c r="N191" t="str">
        <f t="shared" si="19"/>
        <v>230703;0.11</v>
      </c>
      <c r="P191" t="str">
        <f t="shared" si="20"/>
        <v>130403;7250@231403;0.055@230703;0.11</v>
      </c>
    </row>
    <row r="192" spans="6:16">
      <c r="F192">
        <f t="shared" si="16"/>
        <v>8500</v>
      </c>
      <c r="G192">
        <v>12</v>
      </c>
      <c r="H192" s="1">
        <v>300</v>
      </c>
      <c r="I192" s="1">
        <f t="shared" si="21"/>
        <v>1700</v>
      </c>
      <c r="J192" s="13" t="str">
        <f t="shared" si="17"/>
        <v>130403;8500</v>
      </c>
      <c r="K192" s="13">
        <v>0.06</v>
      </c>
      <c r="L192" t="str">
        <f t="shared" si="18"/>
        <v>231403;0.06</v>
      </c>
      <c r="M192" s="13">
        <v>0.12</v>
      </c>
      <c r="N192" t="str">
        <f t="shared" si="19"/>
        <v>230703;0.12</v>
      </c>
      <c r="P192" t="str">
        <f t="shared" si="20"/>
        <v>130403;8500@231403;0.06@230703;0.12</v>
      </c>
    </row>
    <row r="193" spans="4:16">
      <c r="F193">
        <f t="shared" si="16"/>
        <v>10000</v>
      </c>
      <c r="G193">
        <v>13</v>
      </c>
      <c r="H193" s="1">
        <v>400</v>
      </c>
      <c r="I193" s="1">
        <f t="shared" si="21"/>
        <v>2000</v>
      </c>
      <c r="J193" s="13" t="str">
        <f t="shared" si="17"/>
        <v>130403;10000</v>
      </c>
      <c r="K193" s="13">
        <v>6.5000000000000002E-2</v>
      </c>
      <c r="L193" t="str">
        <f t="shared" si="18"/>
        <v>231403;0.065</v>
      </c>
      <c r="M193" s="13">
        <v>0.13</v>
      </c>
      <c r="N193" t="str">
        <f t="shared" si="19"/>
        <v>230703;0.13</v>
      </c>
      <c r="P193" t="str">
        <f t="shared" si="20"/>
        <v>130403;10000@231403;0.065@230703;0.13</v>
      </c>
    </row>
    <row r="194" spans="4:16">
      <c r="F194">
        <f t="shared" si="16"/>
        <v>12000</v>
      </c>
      <c r="G194">
        <v>14</v>
      </c>
      <c r="H194" s="1">
        <v>600</v>
      </c>
      <c r="I194" s="1">
        <f t="shared" si="21"/>
        <v>2400</v>
      </c>
      <c r="J194" s="13" t="str">
        <f t="shared" si="17"/>
        <v>130403;12000</v>
      </c>
      <c r="K194" s="13">
        <v>7.0000000000000007E-2</v>
      </c>
      <c r="L194" t="str">
        <f t="shared" si="18"/>
        <v>231403;0.07</v>
      </c>
      <c r="M194" s="13">
        <v>0.14000000000000001</v>
      </c>
      <c r="N194" t="str">
        <f t="shared" si="19"/>
        <v>230703;0.14</v>
      </c>
      <c r="P194" t="str">
        <f t="shared" si="20"/>
        <v>130403;12000@231403;0.07@230703;0.14</v>
      </c>
    </row>
    <row r="195" spans="4:16">
      <c r="F195">
        <f t="shared" si="16"/>
        <v>15000</v>
      </c>
      <c r="G195">
        <v>15</v>
      </c>
      <c r="H195" s="1">
        <v>600</v>
      </c>
      <c r="I195" s="1">
        <f t="shared" si="21"/>
        <v>3000</v>
      </c>
      <c r="J195" s="13" t="str">
        <f t="shared" si="17"/>
        <v>130403;15000</v>
      </c>
      <c r="K195" s="13">
        <v>7.4999999999999997E-2</v>
      </c>
      <c r="L195" t="str">
        <f t="shared" si="18"/>
        <v>231403;0.075</v>
      </c>
      <c r="M195" s="13">
        <v>0.15</v>
      </c>
      <c r="N195" t="str">
        <f t="shared" si="19"/>
        <v>230703;0.15</v>
      </c>
      <c r="P195" t="str">
        <f t="shared" si="20"/>
        <v>130403;15000@231403;0.075@230703;0.15</v>
      </c>
    </row>
    <row r="196" spans="4:16">
      <c r="F196">
        <f t="shared" si="16"/>
        <v>18000</v>
      </c>
      <c r="G196">
        <v>16</v>
      </c>
      <c r="H196" s="1">
        <v>800</v>
      </c>
      <c r="I196" s="1">
        <f t="shared" si="21"/>
        <v>3600</v>
      </c>
      <c r="J196" s="13" t="str">
        <f t="shared" si="17"/>
        <v>130403;18000</v>
      </c>
      <c r="K196" s="13">
        <v>0.08</v>
      </c>
      <c r="L196" t="str">
        <f t="shared" si="18"/>
        <v>231403;0.08</v>
      </c>
      <c r="M196" s="13">
        <v>0.16</v>
      </c>
      <c r="N196" t="str">
        <f t="shared" si="19"/>
        <v>230703;0.16</v>
      </c>
      <c r="P196" t="str">
        <f t="shared" si="20"/>
        <v>130403;18000@231403;0.08@230703;0.16</v>
      </c>
    </row>
    <row r="197" spans="4:16">
      <c r="F197">
        <f t="shared" si="16"/>
        <v>22000</v>
      </c>
      <c r="G197">
        <v>17</v>
      </c>
      <c r="H197" s="1">
        <v>800</v>
      </c>
      <c r="I197" s="1">
        <f t="shared" si="21"/>
        <v>4400</v>
      </c>
      <c r="J197" s="13" t="str">
        <f t="shared" si="17"/>
        <v>130403;22000</v>
      </c>
      <c r="K197" s="13">
        <v>8.5000000000000006E-2</v>
      </c>
      <c r="L197" t="str">
        <f t="shared" si="18"/>
        <v>231403;0.085</v>
      </c>
      <c r="M197" s="13">
        <v>0.17</v>
      </c>
      <c r="N197" t="str">
        <f t="shared" si="19"/>
        <v>230703;0.17</v>
      </c>
      <c r="P197" t="str">
        <f t="shared" si="20"/>
        <v>130403;22000@231403;0.085@230703;0.17</v>
      </c>
    </row>
    <row r="198" spans="4:16">
      <c r="F198">
        <f t="shared" si="16"/>
        <v>26000</v>
      </c>
      <c r="G198">
        <v>18</v>
      </c>
      <c r="H198" s="1">
        <v>1000</v>
      </c>
      <c r="I198" s="1">
        <f t="shared" si="21"/>
        <v>5200</v>
      </c>
      <c r="J198" s="13" t="str">
        <f t="shared" si="17"/>
        <v>130403;26000</v>
      </c>
      <c r="K198" s="13">
        <v>0.09</v>
      </c>
      <c r="L198" t="str">
        <f t="shared" si="18"/>
        <v>231403;0.09</v>
      </c>
      <c r="M198" s="13">
        <v>0.18</v>
      </c>
      <c r="N198" t="str">
        <f t="shared" si="19"/>
        <v>230703;0.18</v>
      </c>
      <c r="P198" t="str">
        <f t="shared" si="20"/>
        <v>130403;26000@231403;0.09@230703;0.18</v>
      </c>
    </row>
    <row r="199" spans="4:16">
      <c r="F199">
        <f t="shared" si="16"/>
        <v>31000</v>
      </c>
      <c r="G199">
        <v>19</v>
      </c>
      <c r="H199" s="1">
        <v>1000</v>
      </c>
      <c r="I199" s="1">
        <f t="shared" si="21"/>
        <v>6200</v>
      </c>
      <c r="J199" s="13" t="str">
        <f t="shared" si="17"/>
        <v>130403;31000</v>
      </c>
      <c r="K199" s="13">
        <v>9.5000000000000001E-2</v>
      </c>
      <c r="L199" t="str">
        <f t="shared" si="18"/>
        <v>231403;0.095</v>
      </c>
      <c r="M199" s="13">
        <v>0.19</v>
      </c>
      <c r="N199" t="str">
        <f t="shared" si="19"/>
        <v>230703;0.19</v>
      </c>
      <c r="P199" t="str">
        <f t="shared" si="20"/>
        <v>130403;31000@231403;0.095@230703;0.19</v>
      </c>
    </row>
    <row r="200" spans="4:16">
      <c r="F200">
        <f t="shared" si="16"/>
        <v>36000</v>
      </c>
      <c r="G200">
        <v>20</v>
      </c>
      <c r="H200" s="1">
        <v>1000</v>
      </c>
      <c r="I200" s="1">
        <f t="shared" si="21"/>
        <v>7200</v>
      </c>
      <c r="J200" s="13" t="str">
        <f t="shared" si="17"/>
        <v>130403;36000</v>
      </c>
      <c r="K200" s="13">
        <v>0.1</v>
      </c>
      <c r="L200" t="str">
        <f t="shared" si="18"/>
        <v>231403;0.1</v>
      </c>
      <c r="M200" s="13">
        <v>0.2</v>
      </c>
      <c r="N200" t="str">
        <f t="shared" si="19"/>
        <v>230703;0.2</v>
      </c>
      <c r="P200" t="str">
        <f t="shared" si="20"/>
        <v>130403;36000@231403;0.1@230703;0.2</v>
      </c>
    </row>
    <row r="207" spans="4:16">
      <c r="D207" s="105" t="s">
        <v>3174</v>
      </c>
      <c r="E207" s="121" t="s">
        <v>3167</v>
      </c>
      <c r="F207" t="s">
        <v>3166</v>
      </c>
    </row>
    <row r="208" spans="4:16">
      <c r="D208" s="105" t="s">
        <v>3168</v>
      </c>
      <c r="E208" s="121" t="s">
        <v>3167</v>
      </c>
      <c r="F208" s="105" t="s">
        <v>3171</v>
      </c>
    </row>
    <row r="209" spans="4:6">
      <c r="D209" s="105" t="s">
        <v>3169</v>
      </c>
      <c r="E209" s="121" t="s">
        <v>3167</v>
      </c>
      <c r="F209" s="105" t="s">
        <v>3172</v>
      </c>
    </row>
    <row r="210" spans="4:6">
      <c r="D210" s="105" t="s">
        <v>3170</v>
      </c>
      <c r="E210" s="121" t="s">
        <v>3167</v>
      </c>
      <c r="F210" s="105" t="s">
        <v>3173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opLeftCell="K1" zoomScaleNormal="100" workbookViewId="0">
      <selection activeCell="O12" sqref="O12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P2" s="3" t="s">
        <v>3120</v>
      </c>
      <c r="R2" s="3" t="s">
        <v>3122</v>
      </c>
      <c r="S2" s="1" t="s">
        <v>3126</v>
      </c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P3" s="3" t="s">
        <v>3121</v>
      </c>
      <c r="R3" s="3" t="s">
        <v>3124</v>
      </c>
      <c r="S3" s="1" t="s">
        <v>3127</v>
      </c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R4" s="3" t="s">
        <v>3125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 t="shared" ref="AB9:AB18" si="0">Z9</f>
        <v>10</v>
      </c>
      <c r="AC9" s="1">
        <v>5</v>
      </c>
      <c r="AD9" s="1">
        <f t="shared" ref="AD9:AD18" si="1"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2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3">Z10*3</f>
        <v>75</v>
      </c>
      <c r="AB10" s="1">
        <f t="shared" si="0"/>
        <v>25</v>
      </c>
      <c r="AC10" s="1">
        <v>10</v>
      </c>
      <c r="AD10" s="1">
        <f t="shared" si="1"/>
        <v>125</v>
      </c>
      <c r="AE10" s="1">
        <v>60</v>
      </c>
      <c r="AF10" s="1">
        <v>60</v>
      </c>
      <c r="AG10" s="1">
        <f t="shared" ref="AG10:AG18" si="4">Z10</f>
        <v>25</v>
      </c>
      <c r="AI10" s="3" t="str">
        <f t="shared" ref="AI10:AI18" si="5">"100403;"&amp;Z10&amp;"@100603;"&amp;AB10</f>
        <v>100403;25@100603;25</v>
      </c>
      <c r="AJ10" s="3" t="str">
        <f t="shared" ref="AJ10:AJ18" si="6">"攻击提升"&amp;Z10&amp;"点;物防提升"&amp;AB10&amp;"点"</f>
        <v>攻击提升25点;物防提升25点</v>
      </c>
      <c r="AK10" s="3" t="str">
        <f t="shared" ref="AK10:AK18" si="7">"100403;"&amp;Z10&amp;"@100803;"&amp;AB10</f>
        <v>100403;25@100803;25</v>
      </c>
      <c r="AL10" s="3" t="str">
        <f t="shared" ref="AL10:AL18" si="8">"攻击提升"&amp;Z10&amp;"点;魔防提升"&amp;AB10&amp;"点"</f>
        <v>攻击提升25点;魔防提升25点</v>
      </c>
      <c r="AM10" s="3" t="str">
        <f t="shared" ref="AM10:AM18" si="9">"100403;"&amp;Z10&amp;"@100203;"&amp;AE10</f>
        <v>100403;25@100203;60</v>
      </c>
      <c r="AN10" s="3" t="str">
        <f t="shared" ref="AN10:AN18" si="10">"攻击提升"&amp;Z10&amp;"点;血量提升"&amp;AE10&amp;"点"</f>
        <v>攻击提升25点;血量提升60点</v>
      </c>
      <c r="AO10" s="3" t="str">
        <f t="shared" ref="AO10:AO18" si="11">"100203;"&amp;AD10</f>
        <v>100203;125</v>
      </c>
      <c r="AP10" s="3" t="str">
        <f t="shared" ref="AP10:AP18" si="12">"血量提升"&amp;AD10&amp;"点"</f>
        <v>血量提升125点</v>
      </c>
      <c r="AQ10" s="3" t="str">
        <f t="shared" ref="AQ10:AQ18" si="13">"101003;"&amp;Z10&amp;"@100203;"&amp;AE10</f>
        <v>101003;25@100203;60</v>
      </c>
      <c r="AR10" s="3" t="str">
        <f t="shared" ref="AR10:AR18" si="14">"魔法提升"&amp;Z10&amp;"点;血量提升"&amp;AE10&amp;"点"</f>
        <v>魔法提升25点;血量提升60点</v>
      </c>
      <c r="AS10" s="3" t="str">
        <f t="shared" ref="AS10:AS18" si="15">"100203;"&amp;AE10&amp;"@100603;"&amp;AC10&amp;"@100803;"&amp;AC10</f>
        <v>100203;60@100603;10@100803;10</v>
      </c>
      <c r="AT10" s="3" t="str">
        <f t="shared" ref="AT10:AT18" si="16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2"/>
        <v>15</v>
      </c>
      <c r="V11" s="4">
        <f>SUM($W$9:W11)</f>
        <v>450</v>
      </c>
      <c r="W11" s="1">
        <v>200</v>
      </c>
      <c r="X11" s="1">
        <f t="shared" ref="W11:X18" si="17">X10+100</f>
        <v>300</v>
      </c>
      <c r="Y11" s="1">
        <v>15</v>
      </c>
      <c r="Z11" s="1">
        <f>SUM($Y$9:Y11)</f>
        <v>40</v>
      </c>
      <c r="AA11" s="1">
        <f t="shared" si="3"/>
        <v>120</v>
      </c>
      <c r="AB11" s="1">
        <f t="shared" si="0"/>
        <v>40</v>
      </c>
      <c r="AC11" s="1">
        <v>15</v>
      </c>
      <c r="AD11" s="1">
        <f t="shared" si="1"/>
        <v>200</v>
      </c>
      <c r="AE11" s="1">
        <f t="shared" ref="AE11:AE18" si="18">Z11*2.5</f>
        <v>100</v>
      </c>
      <c r="AF11" s="1">
        <f t="shared" ref="AF11:AF18" si="19">Z11*2.5</f>
        <v>100</v>
      </c>
      <c r="AG11" s="1">
        <f t="shared" si="4"/>
        <v>40</v>
      </c>
      <c r="AI11" s="3" t="str">
        <f t="shared" si="5"/>
        <v>100403;40@100603;40</v>
      </c>
      <c r="AJ11" s="3" t="str">
        <f t="shared" si="6"/>
        <v>攻击提升40点;物防提升40点</v>
      </c>
      <c r="AK11" s="3" t="str">
        <f t="shared" si="7"/>
        <v>100403;40@100803;40</v>
      </c>
      <c r="AL11" s="3" t="str">
        <f t="shared" si="8"/>
        <v>攻击提升40点;魔防提升40点</v>
      </c>
      <c r="AM11" s="3" t="str">
        <f t="shared" si="9"/>
        <v>100403;40@100203;100</v>
      </c>
      <c r="AN11" s="3" t="str">
        <f t="shared" si="10"/>
        <v>攻击提升40点;血量提升100点</v>
      </c>
      <c r="AO11" s="3" t="str">
        <f t="shared" si="11"/>
        <v>100203;200</v>
      </c>
      <c r="AP11" s="3" t="str">
        <f t="shared" si="12"/>
        <v>血量提升200点</v>
      </c>
      <c r="AQ11" s="3" t="str">
        <f t="shared" si="13"/>
        <v>101003;40@100203;100</v>
      </c>
      <c r="AR11" s="3" t="str">
        <f t="shared" si="14"/>
        <v>魔法提升40点;血量提升100点</v>
      </c>
      <c r="AS11" s="3" t="str">
        <f t="shared" si="15"/>
        <v>100203;100@100603;15@100803;15</v>
      </c>
      <c r="AT11" s="3" t="str">
        <f t="shared" si="16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2"/>
        <v>25</v>
      </c>
      <c r="V12" s="4">
        <f>SUM($W$9:W12)</f>
        <v>750</v>
      </c>
      <c r="W12" s="1">
        <f t="shared" si="17"/>
        <v>300</v>
      </c>
      <c r="X12" s="1">
        <f t="shared" si="17"/>
        <v>400</v>
      </c>
      <c r="Y12" s="1">
        <v>20</v>
      </c>
      <c r="Z12" s="1">
        <f>SUM($Y$9:Y12)</f>
        <v>60</v>
      </c>
      <c r="AA12" s="1">
        <f t="shared" si="3"/>
        <v>180</v>
      </c>
      <c r="AB12" s="1">
        <f t="shared" si="0"/>
        <v>60</v>
      </c>
      <c r="AC12" s="1">
        <f t="shared" ref="AC12:AC18" si="20">AB12/3</f>
        <v>20</v>
      </c>
      <c r="AD12" s="1">
        <f t="shared" si="1"/>
        <v>300</v>
      </c>
      <c r="AE12" s="1">
        <f t="shared" si="18"/>
        <v>150</v>
      </c>
      <c r="AF12" s="1">
        <f t="shared" si="19"/>
        <v>150</v>
      </c>
      <c r="AG12" s="1">
        <f t="shared" si="4"/>
        <v>60</v>
      </c>
      <c r="AI12" s="3" t="str">
        <f t="shared" si="5"/>
        <v>100403;60@100603;60</v>
      </c>
      <c r="AJ12" s="3" t="str">
        <f t="shared" si="6"/>
        <v>攻击提升60点;物防提升60点</v>
      </c>
      <c r="AK12" s="3" t="str">
        <f t="shared" si="7"/>
        <v>100403;60@100803;60</v>
      </c>
      <c r="AL12" s="3" t="str">
        <f t="shared" si="8"/>
        <v>攻击提升60点;魔防提升60点</v>
      </c>
      <c r="AM12" s="3" t="str">
        <f t="shared" si="9"/>
        <v>100403;60@100203;150</v>
      </c>
      <c r="AN12" s="3" t="str">
        <f t="shared" si="10"/>
        <v>攻击提升60点;血量提升150点</v>
      </c>
      <c r="AO12" s="3" t="str">
        <f t="shared" si="11"/>
        <v>100203;300</v>
      </c>
      <c r="AP12" s="3" t="str">
        <f t="shared" si="12"/>
        <v>血量提升300点</v>
      </c>
      <c r="AQ12" s="3" t="str">
        <f t="shared" si="13"/>
        <v>101003;60@100203;150</v>
      </c>
      <c r="AR12" s="3" t="str">
        <f t="shared" si="14"/>
        <v>魔法提升60点;血量提升150点</v>
      </c>
      <c r="AS12" s="3" t="str">
        <f t="shared" si="15"/>
        <v>100203;150@100603;20@100803;20</v>
      </c>
      <c r="AT12" s="3" t="str">
        <f t="shared" si="16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2"/>
        <v>40</v>
      </c>
      <c r="V13" s="4">
        <f>SUM($W$9:W13)</f>
        <v>1200</v>
      </c>
      <c r="W13" s="1">
        <v>450</v>
      </c>
      <c r="X13" s="1">
        <f t="shared" si="17"/>
        <v>500</v>
      </c>
      <c r="Y13" s="1">
        <v>30</v>
      </c>
      <c r="Z13" s="1">
        <f>SUM($Y$9:Y13)</f>
        <v>90</v>
      </c>
      <c r="AA13" s="1">
        <f t="shared" si="3"/>
        <v>270</v>
      </c>
      <c r="AB13" s="1">
        <f t="shared" si="0"/>
        <v>90</v>
      </c>
      <c r="AC13" s="1">
        <f t="shared" si="20"/>
        <v>30</v>
      </c>
      <c r="AD13" s="1">
        <f t="shared" si="1"/>
        <v>450</v>
      </c>
      <c r="AE13" s="1">
        <f t="shared" si="18"/>
        <v>225</v>
      </c>
      <c r="AF13" s="1">
        <f t="shared" si="19"/>
        <v>225</v>
      </c>
      <c r="AG13" s="1">
        <f t="shared" si="4"/>
        <v>90</v>
      </c>
      <c r="AI13" s="3" t="str">
        <f t="shared" si="5"/>
        <v>100403;90@100603;90</v>
      </c>
      <c r="AJ13" s="3" t="str">
        <f t="shared" si="6"/>
        <v>攻击提升90点;物防提升90点</v>
      </c>
      <c r="AK13" s="3" t="str">
        <f t="shared" si="7"/>
        <v>100403;90@100803;90</v>
      </c>
      <c r="AL13" s="3" t="str">
        <f t="shared" si="8"/>
        <v>攻击提升90点;魔防提升90点</v>
      </c>
      <c r="AM13" s="3" t="str">
        <f t="shared" si="9"/>
        <v>100403;90@100203;225</v>
      </c>
      <c r="AN13" s="3" t="str">
        <f t="shared" si="10"/>
        <v>攻击提升90点;血量提升225点</v>
      </c>
      <c r="AO13" s="3" t="str">
        <f t="shared" si="11"/>
        <v>100203;450</v>
      </c>
      <c r="AP13" s="3" t="str">
        <f t="shared" si="12"/>
        <v>血量提升450点</v>
      </c>
      <c r="AQ13" s="3" t="str">
        <f t="shared" si="13"/>
        <v>101003;90@100203;225</v>
      </c>
      <c r="AR13" s="3" t="str">
        <f t="shared" si="14"/>
        <v>魔法提升90点;血量提升225点</v>
      </c>
      <c r="AS13" s="3" t="str">
        <f t="shared" si="15"/>
        <v>100203;225@100603;30@100803;30</v>
      </c>
      <c r="AT13" s="3" t="str">
        <f t="shared" si="16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2"/>
        <v>60</v>
      </c>
      <c r="V14" s="4">
        <f>SUM($W$9:W14)</f>
        <v>1800</v>
      </c>
      <c r="W14" s="1">
        <v>600</v>
      </c>
      <c r="X14" s="1">
        <f t="shared" si="17"/>
        <v>600</v>
      </c>
      <c r="Y14" s="1">
        <v>30</v>
      </c>
      <c r="Z14" s="1">
        <f>SUM($Y$9:Y14)</f>
        <v>120</v>
      </c>
      <c r="AA14" s="1">
        <f t="shared" si="3"/>
        <v>360</v>
      </c>
      <c r="AB14" s="1">
        <f t="shared" si="0"/>
        <v>120</v>
      </c>
      <c r="AC14" s="1">
        <f t="shared" si="20"/>
        <v>40</v>
      </c>
      <c r="AD14" s="1">
        <f t="shared" si="1"/>
        <v>600</v>
      </c>
      <c r="AE14" s="1">
        <f t="shared" si="18"/>
        <v>300</v>
      </c>
      <c r="AF14" s="1">
        <f t="shared" si="19"/>
        <v>300</v>
      </c>
      <c r="AG14" s="1">
        <f t="shared" si="4"/>
        <v>120</v>
      </c>
      <c r="AI14" s="3" t="str">
        <f t="shared" si="5"/>
        <v>100403;120@100603;120</v>
      </c>
      <c r="AJ14" s="3" t="str">
        <f t="shared" si="6"/>
        <v>攻击提升120点;物防提升120点</v>
      </c>
      <c r="AK14" s="3" t="str">
        <f t="shared" si="7"/>
        <v>100403;120@100803;120</v>
      </c>
      <c r="AL14" s="3" t="str">
        <f t="shared" si="8"/>
        <v>攻击提升120点;魔防提升120点</v>
      </c>
      <c r="AM14" s="3" t="str">
        <f t="shared" si="9"/>
        <v>100403;120@100203;300</v>
      </c>
      <c r="AN14" s="3" t="str">
        <f t="shared" si="10"/>
        <v>攻击提升120点;血量提升300点</v>
      </c>
      <c r="AO14" s="3" t="str">
        <f t="shared" si="11"/>
        <v>100203;600</v>
      </c>
      <c r="AP14" s="3" t="str">
        <f t="shared" si="12"/>
        <v>血量提升600点</v>
      </c>
      <c r="AQ14" s="3" t="str">
        <f t="shared" si="13"/>
        <v>101003;120@100203;300</v>
      </c>
      <c r="AR14" s="3" t="str">
        <f t="shared" si="14"/>
        <v>魔法提升120点;血量提升300点</v>
      </c>
      <c r="AS14" s="3" t="str">
        <f t="shared" si="15"/>
        <v>100203;300@100603;40@100803;40</v>
      </c>
      <c r="AT14" s="3" t="str">
        <f t="shared" si="16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2"/>
        <v>86.666666666666671</v>
      </c>
      <c r="V15" s="4">
        <f>SUM($W$9:W15)</f>
        <v>2600</v>
      </c>
      <c r="W15" s="1">
        <v>800</v>
      </c>
      <c r="X15" s="1">
        <f t="shared" si="17"/>
        <v>700</v>
      </c>
      <c r="Y15" s="1">
        <v>30</v>
      </c>
      <c r="Z15" s="1">
        <f>SUM($Y$9:Y15)</f>
        <v>150</v>
      </c>
      <c r="AA15" s="1">
        <f t="shared" si="3"/>
        <v>450</v>
      </c>
      <c r="AB15" s="1">
        <f t="shared" si="0"/>
        <v>150</v>
      </c>
      <c r="AC15" s="1">
        <f t="shared" si="20"/>
        <v>50</v>
      </c>
      <c r="AD15" s="1">
        <f t="shared" si="1"/>
        <v>750</v>
      </c>
      <c r="AE15" s="1">
        <f t="shared" si="18"/>
        <v>375</v>
      </c>
      <c r="AF15" s="1">
        <f t="shared" si="19"/>
        <v>375</v>
      </c>
      <c r="AG15" s="1">
        <f t="shared" si="4"/>
        <v>150</v>
      </c>
      <c r="AI15" s="3" t="str">
        <f t="shared" si="5"/>
        <v>100403;150@100603;150</v>
      </c>
      <c r="AJ15" s="3" t="str">
        <f t="shared" si="6"/>
        <v>攻击提升150点;物防提升150点</v>
      </c>
      <c r="AK15" s="3" t="str">
        <f t="shared" si="7"/>
        <v>100403;150@100803;150</v>
      </c>
      <c r="AL15" s="3" t="str">
        <f t="shared" si="8"/>
        <v>攻击提升150点;魔防提升150点</v>
      </c>
      <c r="AM15" s="3" t="str">
        <f t="shared" si="9"/>
        <v>100403;150@100203;375</v>
      </c>
      <c r="AN15" s="3" t="str">
        <f t="shared" si="10"/>
        <v>攻击提升150点;血量提升375点</v>
      </c>
      <c r="AO15" s="3" t="str">
        <f t="shared" si="11"/>
        <v>100203;750</v>
      </c>
      <c r="AP15" s="3" t="str">
        <f t="shared" si="12"/>
        <v>血量提升750点</v>
      </c>
      <c r="AQ15" s="3" t="str">
        <f t="shared" si="13"/>
        <v>101003;150@100203;375</v>
      </c>
      <c r="AR15" s="3" t="str">
        <f t="shared" si="14"/>
        <v>魔法提升150点;血量提升375点</v>
      </c>
      <c r="AS15" s="3" t="str">
        <f t="shared" si="15"/>
        <v>100203;375@100603;50@100803;50</v>
      </c>
      <c r="AT15" s="3" t="str">
        <f t="shared" si="16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2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3"/>
        <v>540</v>
      </c>
      <c r="AB16" s="1">
        <f t="shared" si="0"/>
        <v>180</v>
      </c>
      <c r="AC16" s="1">
        <f t="shared" si="20"/>
        <v>60</v>
      </c>
      <c r="AD16" s="1">
        <f t="shared" si="1"/>
        <v>900</v>
      </c>
      <c r="AE16" s="1">
        <f t="shared" si="18"/>
        <v>450</v>
      </c>
      <c r="AF16" s="1">
        <f t="shared" si="19"/>
        <v>450</v>
      </c>
      <c r="AG16" s="1">
        <f t="shared" si="4"/>
        <v>180</v>
      </c>
      <c r="AI16" s="3" t="str">
        <f t="shared" si="5"/>
        <v>100403;180@100603;180</v>
      </c>
      <c r="AJ16" s="3" t="str">
        <f t="shared" si="6"/>
        <v>攻击提升180点;物防提升180点</v>
      </c>
      <c r="AK16" s="3" t="str">
        <f t="shared" si="7"/>
        <v>100403;180@100803;180</v>
      </c>
      <c r="AL16" s="3" t="str">
        <f t="shared" si="8"/>
        <v>攻击提升180点;魔防提升180点</v>
      </c>
      <c r="AM16" s="3" t="str">
        <f t="shared" si="9"/>
        <v>100403;180@100203;450</v>
      </c>
      <c r="AN16" s="3" t="str">
        <f t="shared" si="10"/>
        <v>攻击提升180点;血量提升450点</v>
      </c>
      <c r="AO16" s="3" t="str">
        <f t="shared" si="11"/>
        <v>100203;900</v>
      </c>
      <c r="AP16" s="3" t="str">
        <f t="shared" si="12"/>
        <v>血量提升900点</v>
      </c>
      <c r="AQ16" s="3" t="str">
        <f t="shared" si="13"/>
        <v>101003;180@100203;450</v>
      </c>
      <c r="AR16" s="3" t="str">
        <f t="shared" si="14"/>
        <v>魔法提升180点;血量提升450点</v>
      </c>
      <c r="AS16" s="3" t="str">
        <f t="shared" si="15"/>
        <v>100203;450@100603;60@100803;60</v>
      </c>
      <c r="AT16" s="3" t="str">
        <f t="shared" si="16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2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3"/>
        <v>630</v>
      </c>
      <c r="AB17" s="1">
        <f t="shared" si="0"/>
        <v>210</v>
      </c>
      <c r="AC17" s="1">
        <f t="shared" si="20"/>
        <v>70</v>
      </c>
      <c r="AD17" s="1">
        <f t="shared" si="1"/>
        <v>1050</v>
      </c>
      <c r="AE17" s="1">
        <f t="shared" si="18"/>
        <v>525</v>
      </c>
      <c r="AF17" s="1">
        <f t="shared" si="19"/>
        <v>525</v>
      </c>
      <c r="AG17" s="1">
        <f t="shared" si="4"/>
        <v>210</v>
      </c>
      <c r="AI17" s="3" t="str">
        <f t="shared" si="5"/>
        <v>100403;210@100603;210</v>
      </c>
      <c r="AJ17" s="3" t="str">
        <f t="shared" si="6"/>
        <v>攻击提升210点;物防提升210点</v>
      </c>
      <c r="AK17" s="3" t="str">
        <f t="shared" si="7"/>
        <v>100403;210@100803;210</v>
      </c>
      <c r="AL17" s="3" t="str">
        <f t="shared" si="8"/>
        <v>攻击提升210点;魔防提升210点</v>
      </c>
      <c r="AM17" s="3" t="str">
        <f t="shared" si="9"/>
        <v>100403;210@100203;525</v>
      </c>
      <c r="AN17" s="3" t="str">
        <f t="shared" si="10"/>
        <v>攻击提升210点;血量提升525点</v>
      </c>
      <c r="AO17" s="3" t="str">
        <f t="shared" si="11"/>
        <v>100203;1050</v>
      </c>
      <c r="AP17" s="3" t="str">
        <f t="shared" si="12"/>
        <v>血量提升1050点</v>
      </c>
      <c r="AQ17" s="3" t="str">
        <f t="shared" si="13"/>
        <v>101003;210@100203;525</v>
      </c>
      <c r="AR17" s="3" t="str">
        <f t="shared" si="14"/>
        <v>魔法提升210点;血量提升525点</v>
      </c>
      <c r="AS17" s="3" t="str">
        <f t="shared" si="15"/>
        <v>100203;525@100603;70@100803;70</v>
      </c>
      <c r="AT17" s="3" t="str">
        <f t="shared" si="16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2"/>
        <v>203.33333333333334</v>
      </c>
      <c r="V18" s="4">
        <f>SUM($W$9:W18)</f>
        <v>6100</v>
      </c>
      <c r="W18" s="1">
        <f t="shared" si="17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3"/>
        <v>720</v>
      </c>
      <c r="AB18" s="1">
        <f t="shared" si="0"/>
        <v>240</v>
      </c>
      <c r="AC18" s="1">
        <f t="shared" si="20"/>
        <v>80</v>
      </c>
      <c r="AD18" s="1">
        <f t="shared" si="1"/>
        <v>1200</v>
      </c>
      <c r="AE18" s="1">
        <f t="shared" si="18"/>
        <v>600</v>
      </c>
      <c r="AF18" s="1">
        <f t="shared" si="19"/>
        <v>600</v>
      </c>
      <c r="AG18" s="1">
        <f t="shared" si="4"/>
        <v>240</v>
      </c>
      <c r="AI18" s="3" t="str">
        <f t="shared" si="5"/>
        <v>100403;240@100603;240</v>
      </c>
      <c r="AJ18" s="3" t="str">
        <f t="shared" si="6"/>
        <v>攻击提升240点;物防提升240点</v>
      </c>
      <c r="AK18" s="3" t="str">
        <f t="shared" si="7"/>
        <v>100403;240@100803;240</v>
      </c>
      <c r="AL18" s="3" t="str">
        <f t="shared" si="8"/>
        <v>攻击提升240点;魔防提升240点</v>
      </c>
      <c r="AM18" s="3" t="str">
        <f t="shared" si="9"/>
        <v>100403;240@100203;600</v>
      </c>
      <c r="AN18" s="3" t="str">
        <f t="shared" si="10"/>
        <v>攻击提升240点;血量提升600点</v>
      </c>
      <c r="AO18" s="3" t="str">
        <f t="shared" si="11"/>
        <v>100203;1200</v>
      </c>
      <c r="AP18" s="3" t="str">
        <f t="shared" si="12"/>
        <v>血量提升1200点</v>
      </c>
      <c r="AQ18" s="3" t="str">
        <f t="shared" si="13"/>
        <v>101003;240@100203;600</v>
      </c>
      <c r="AR18" s="3" t="str">
        <f t="shared" si="14"/>
        <v>魔法提升240点;血量提升600点</v>
      </c>
      <c r="AS18" s="3" t="str">
        <f t="shared" si="15"/>
        <v>100203;600@100603;80@100803;80</v>
      </c>
      <c r="AT18" s="3" t="str">
        <f t="shared" si="16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21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21"/>
        <v>16.666666666666668</v>
      </c>
      <c r="G23" s="1" t="s">
        <v>3005</v>
      </c>
      <c r="R23" s="117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21"/>
        <v>33.333333333333336</v>
      </c>
      <c r="G24" s="1" t="s">
        <v>3039</v>
      </c>
      <c r="H24" s="1">
        <v>1</v>
      </c>
      <c r="I24" s="7" t="s">
        <v>3070</v>
      </c>
      <c r="L24" s="1" t="s">
        <v>3123</v>
      </c>
      <c r="M24" s="1">
        <v>0.5</v>
      </c>
      <c r="O24" s="3" t="s">
        <v>2981</v>
      </c>
      <c r="R24" s="117"/>
      <c r="S24" s="118"/>
      <c r="T24" s="119"/>
      <c r="U24" s="117"/>
      <c r="V24" s="108"/>
      <c r="W24" s="117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M25" s="1">
        <v>15</v>
      </c>
      <c r="O25" s="3" t="s">
        <v>2982</v>
      </c>
      <c r="R25" s="117"/>
      <c r="S25" s="118"/>
      <c r="T25" s="119"/>
      <c r="U25" s="117"/>
      <c r="V25" s="108"/>
      <c r="W25" s="117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M27" s="1">
        <v>9</v>
      </c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M28" s="1">
        <v>5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3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activeCell="F12" sqref="F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J20" sqref="J20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2026-09-09T05:56:56Z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