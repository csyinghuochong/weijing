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4E840A4E-FF92-4E67-9313-E9BB374E2746}" xr6:coauthVersionLast="47" xr6:coauthVersionMax="47" xr10:uidLastSave="{00000000-0000-0000-0000-000000000000}"/>
  <bookViews>
    <workbookView xWindow="-120" yWindow="-120" windowWidth="29040" windowHeight="15840" firstSheet="6" activeTab="17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AR10" i="25" l="1"/>
  <c r="AR11" i="25"/>
  <c r="AR12" i="25"/>
  <c r="AR13" i="25"/>
  <c r="AR14" i="25"/>
  <c r="AR15" i="25"/>
  <c r="AR16" i="25"/>
  <c r="AR17" i="25"/>
  <c r="AR18" i="25"/>
  <c r="AR9" i="25"/>
  <c r="AT10" i="25"/>
  <c r="AT11" i="25"/>
  <c r="AT12" i="25"/>
  <c r="AT13" i="25"/>
  <c r="AT14" i="25"/>
  <c r="AT15" i="25"/>
  <c r="AT16" i="25"/>
  <c r="AT17" i="25"/>
  <c r="AT18" i="25"/>
  <c r="AT9" i="25"/>
  <c r="AL9" i="25"/>
  <c r="AP10" i="25"/>
  <c r="AP11" i="25"/>
  <c r="AP12" i="25"/>
  <c r="AP13" i="25"/>
  <c r="AP14" i="25"/>
  <c r="AP15" i="25"/>
  <c r="AP16" i="25"/>
  <c r="AP17" i="25"/>
  <c r="AP18" i="25"/>
  <c r="AP9" i="25"/>
  <c r="AN9" i="25"/>
  <c r="AN10" i="25"/>
  <c r="AN11" i="25"/>
  <c r="AN12" i="25"/>
  <c r="AN13" i="25"/>
  <c r="AN14" i="25"/>
  <c r="AN15" i="25"/>
  <c r="AN16" i="25"/>
  <c r="AN17" i="25"/>
  <c r="AN18" i="25"/>
  <c r="AL10" i="25"/>
  <c r="AL11" i="25"/>
  <c r="AL12" i="25"/>
  <c r="AL13" i="25"/>
  <c r="AL14" i="25"/>
  <c r="AL15" i="25"/>
  <c r="AL16" i="25"/>
  <c r="AL17" i="25"/>
  <c r="AL18" i="25"/>
  <c r="AJ10" i="25"/>
  <c r="AJ11" i="25"/>
  <c r="AJ12" i="25"/>
  <c r="AJ13" i="25"/>
  <c r="AJ14" i="25"/>
  <c r="AJ15" i="25"/>
  <c r="AJ16" i="25"/>
  <c r="AJ17" i="25"/>
  <c r="AJ18" i="25"/>
  <c r="AJ9" i="25"/>
  <c r="AS10" i="25"/>
  <c r="AS11" i="25"/>
  <c r="AS12" i="25"/>
  <c r="AS13" i="25"/>
  <c r="AS14" i="25"/>
  <c r="AS15" i="25"/>
  <c r="AS16" i="25"/>
  <c r="AS17" i="25"/>
  <c r="AS18" i="25"/>
  <c r="AS9" i="25"/>
  <c r="AQ10" i="25"/>
  <c r="AQ11" i="25"/>
  <c r="AQ12" i="25"/>
  <c r="AQ13" i="25"/>
  <c r="AQ14" i="25"/>
  <c r="AQ15" i="25"/>
  <c r="AQ16" i="25"/>
  <c r="AQ17" i="25"/>
  <c r="AQ18" i="25"/>
  <c r="AQ9" i="25"/>
  <c r="AO10" i="25"/>
  <c r="AO11" i="25"/>
  <c r="AO12" i="25"/>
  <c r="AO13" i="25"/>
  <c r="AO14" i="25"/>
  <c r="AO15" i="25"/>
  <c r="AO16" i="25"/>
  <c r="AO17" i="25"/>
  <c r="AO18" i="25"/>
  <c r="AO9" i="25"/>
  <c r="AM10" i="25"/>
  <c r="AM11" i="25"/>
  <c r="AM12" i="25"/>
  <c r="AM13" i="25"/>
  <c r="AM14" i="25"/>
  <c r="AM15" i="25"/>
  <c r="AM16" i="25"/>
  <c r="AM17" i="25"/>
  <c r="AM18" i="25"/>
  <c r="AM9" i="25"/>
  <c r="AK10" i="25"/>
  <c r="AK11" i="25"/>
  <c r="AK12" i="25"/>
  <c r="AK13" i="25"/>
  <c r="AK14" i="25"/>
  <c r="AK15" i="25"/>
  <c r="AK16" i="25"/>
  <c r="AK17" i="25"/>
  <c r="AK18" i="25"/>
  <c r="AK9" i="25"/>
  <c r="AI10" i="25"/>
  <c r="AI11" i="25"/>
  <c r="AI12" i="25"/>
  <c r="AI13" i="25"/>
  <c r="AI14" i="25"/>
  <c r="AI15" i="25"/>
  <c r="AI16" i="25"/>
  <c r="AI17" i="25"/>
  <c r="AI18" i="25"/>
  <c r="AI9" i="25"/>
  <c r="X18" i="25"/>
  <c r="X16" i="25"/>
  <c r="X17" i="25" s="1"/>
  <c r="X10" i="25"/>
  <c r="X11" i="25" s="1"/>
  <c r="X12" i="25" s="1"/>
  <c r="X13" i="25" s="1"/>
  <c r="X14" i="25" s="1"/>
  <c r="X15" i="25" s="1"/>
  <c r="W12" i="25"/>
  <c r="W18" i="25" s="1"/>
  <c r="V9" i="25"/>
  <c r="P19" i="25"/>
  <c r="Q19" i="25" s="1"/>
  <c r="U9" i="25"/>
  <c r="Z10" i="25"/>
  <c r="AB10" i="25" s="1"/>
  <c r="Z9" i="25"/>
  <c r="AD9" i="25" s="1"/>
  <c r="E24" i="25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V18" i="25" l="1"/>
  <c r="U18" i="25" s="1"/>
  <c r="V17" i="25"/>
  <c r="U17" i="25" s="1"/>
  <c r="V14" i="25"/>
  <c r="U14" i="25" s="1"/>
  <c r="V16" i="25"/>
  <c r="U16" i="25" s="1"/>
  <c r="V13" i="25"/>
  <c r="U13" i="25" s="1"/>
  <c r="V15" i="25"/>
  <c r="U15" i="25" s="1"/>
  <c r="V12" i="25"/>
  <c r="U12" i="25" s="1"/>
  <c r="V11" i="25"/>
  <c r="U11" i="25" s="1"/>
  <c r="V10" i="25"/>
  <c r="U10" i="25" s="1"/>
  <c r="AG9" i="25"/>
  <c r="AA10" i="25"/>
  <c r="AG10" i="25"/>
  <c r="AB9" i="25"/>
  <c r="AA9" i="25"/>
  <c r="AF9" i="25"/>
  <c r="AD10" i="25"/>
  <c r="AE9" i="25"/>
  <c r="Z11" i="25"/>
  <c r="AG11" i="25" s="1"/>
  <c r="Z12" i="25"/>
  <c r="AG12" i="25" s="1"/>
  <c r="Z17" i="25"/>
  <c r="AG17" i="25" s="1"/>
  <c r="Z15" i="25"/>
  <c r="AG15" i="25" s="1"/>
  <c r="Z14" i="25"/>
  <c r="AG14" i="25" s="1"/>
  <c r="Z18" i="25"/>
  <c r="AG18" i="25" s="1"/>
  <c r="Z16" i="25"/>
  <c r="AG16" i="25" s="1"/>
  <c r="Z13" i="25"/>
  <c r="AG13" i="25" s="1"/>
  <c r="F25" i="24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AE18" i="25" l="1"/>
  <c r="AF18" i="25"/>
  <c r="AA18" i="25"/>
  <c r="AD18" i="25"/>
  <c r="AB18" i="25"/>
  <c r="AC18" i="25" s="1"/>
  <c r="AF16" i="25"/>
  <c r="AA16" i="25"/>
  <c r="AB16" i="25"/>
  <c r="AC16" i="25" s="1"/>
  <c r="AE16" i="25"/>
  <c r="AD16" i="25"/>
  <c r="AA12" i="25"/>
  <c r="AB12" i="25"/>
  <c r="AC12" i="25" s="1"/>
  <c r="AD12" i="25"/>
  <c r="AE12" i="25"/>
  <c r="AF12" i="25"/>
  <c r="AA11" i="25"/>
  <c r="AB11" i="25"/>
  <c r="AD11" i="25"/>
  <c r="AE11" i="25"/>
  <c r="AF11" i="25"/>
  <c r="AE17" i="25"/>
  <c r="AA17" i="25"/>
  <c r="AF17" i="25"/>
  <c r="AB17" i="25"/>
  <c r="AC17" i="25" s="1"/>
  <c r="AD17" i="25"/>
  <c r="AA14" i="25"/>
  <c r="AB14" i="25"/>
  <c r="AC14" i="25" s="1"/>
  <c r="AD14" i="25"/>
  <c r="AE14" i="25"/>
  <c r="AF14" i="25"/>
  <c r="AF15" i="25"/>
  <c r="AB15" i="25"/>
  <c r="AC15" i="25" s="1"/>
  <c r="AA15" i="25"/>
  <c r="AD15" i="25"/>
  <c r="AE15" i="25"/>
  <c r="AA13" i="25"/>
  <c r="AD13" i="25"/>
  <c r="AB13" i="25"/>
  <c r="AC13" i="25" s="1"/>
  <c r="AE13" i="25"/>
  <c r="AF13" i="25"/>
  <c r="G27" i="24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8" i="7"/>
  <c r="AN78" i="7"/>
  <c r="AV76" i="7"/>
  <c r="AN76" i="7"/>
  <c r="AV75" i="7"/>
  <c r="AN75" i="7"/>
  <c r="AV77" i="7"/>
  <c r="AN77" i="7"/>
  <c r="AN25" i="7"/>
  <c r="AN20" i="7"/>
  <c r="AN26" i="7"/>
  <c r="AN44" i="7"/>
  <c r="AN38" i="7"/>
  <c r="AN19" i="7"/>
  <c r="AN30" i="7"/>
  <c r="AN24" i="7"/>
  <c r="AN32" i="7"/>
  <c r="AN31" i="7"/>
  <c r="AN17" i="7"/>
  <c r="AN18" i="7"/>
  <c r="AN29" i="7"/>
  <c r="AN35" i="7"/>
  <c r="AN37" i="7"/>
  <c r="AN42" i="7"/>
  <c r="AN41" i="7"/>
  <c r="AN36" i="7"/>
  <c r="AN23" i="7"/>
  <c r="AN43" i="7"/>
  <c r="AX41" i="7"/>
  <c r="AX24" i="7"/>
  <c r="AX36" i="7"/>
  <c r="AX43" i="7"/>
  <c r="AX42" i="7"/>
  <c r="AX77" i="7"/>
  <c r="AX31" i="7"/>
  <c r="AX75" i="7"/>
  <c r="AX30" i="7"/>
  <c r="AX32" i="7"/>
  <c r="AX35" i="7"/>
  <c r="AX26" i="7"/>
  <c r="AX17" i="7"/>
  <c r="AX18" i="7"/>
  <c r="AX25" i="7"/>
  <c r="AX19" i="7"/>
  <c r="AX78" i="7"/>
  <c r="AX37" i="7"/>
  <c r="AX20" i="7"/>
  <c r="AX38" i="7"/>
  <c r="AX44" i="7"/>
  <c r="AX76" i="7"/>
  <c r="AX23" i="7"/>
  <c r="AX29" i="7"/>
  <c r="AY38" i="7"/>
  <c r="AY31" i="7"/>
  <c r="AY42" i="7"/>
  <c r="AY18" i="7"/>
  <c r="AY26" i="7"/>
  <c r="AY77" i="7"/>
  <c r="AY20" i="7"/>
  <c r="AY37" i="7"/>
  <c r="AY19" i="7"/>
  <c r="AY29" i="7"/>
  <c r="AY78" i="7"/>
  <c r="AY76" i="7"/>
  <c r="AY75" i="7"/>
  <c r="AY30" i="7"/>
  <c r="AY17" i="7"/>
  <c r="AY43" i="7"/>
  <c r="AY25" i="7"/>
  <c r="AY24" i="7"/>
  <c r="AY32" i="7"/>
  <c r="AY36" i="7"/>
  <c r="AY44" i="7"/>
  <c r="AY35" i="7"/>
  <c r="AY23" i="7"/>
  <c r="AY41" i="7"/>
  <c r="AV31" i="7"/>
  <c r="AV35" i="7"/>
  <c r="AV43" i="7"/>
  <c r="AV24" i="7"/>
  <c r="AV20" i="7"/>
  <c r="AV17" i="7"/>
  <c r="AV32" i="7"/>
  <c r="AV26" i="7"/>
  <c r="AV37" i="7"/>
  <c r="AV30" i="7"/>
  <c r="AV38" i="7"/>
  <c r="AV36" i="7"/>
  <c r="AV19" i="7"/>
  <c r="AV25" i="7"/>
  <c r="AV44" i="7"/>
  <c r="AV18" i="7"/>
  <c r="AV42" i="7"/>
  <c r="AV29" i="7"/>
  <c r="AV23" i="7"/>
  <c r="AV41" i="7"/>
  <c r="AP32" i="7"/>
  <c r="AP17" i="7"/>
  <c r="AP41" i="7"/>
  <c r="AP19" i="7"/>
  <c r="AP42" i="7"/>
  <c r="AP38" i="7"/>
  <c r="AP24" i="7"/>
  <c r="AP44" i="7"/>
  <c r="AP37" i="7"/>
  <c r="AP25" i="7"/>
  <c r="AP78" i="7"/>
  <c r="AP30" i="7"/>
  <c r="AP18" i="7"/>
  <c r="AP31" i="7"/>
  <c r="AP20" i="7"/>
  <c r="AP43" i="7"/>
  <c r="AP76" i="7"/>
  <c r="AP26" i="7"/>
  <c r="AP75" i="7"/>
  <c r="AP35" i="7"/>
  <c r="AP36" i="7"/>
  <c r="AP77" i="7"/>
  <c r="AP23" i="7"/>
  <c r="AP29" i="7"/>
  <c r="AW19" i="7"/>
  <c r="AW78" i="7"/>
  <c r="AW25" i="7"/>
  <c r="AW41" i="7"/>
  <c r="AW37" i="7"/>
  <c r="AW32" i="7"/>
  <c r="AW29" i="7"/>
  <c r="AW24" i="7"/>
  <c r="AW75" i="7"/>
  <c r="AW43" i="7"/>
  <c r="AW17" i="7"/>
  <c r="AW20" i="7"/>
  <c r="AW18" i="7"/>
  <c r="AW26" i="7"/>
  <c r="AW44" i="7"/>
  <c r="AW77" i="7"/>
  <c r="AW42" i="7"/>
  <c r="AW35" i="7"/>
  <c r="AW76" i="7"/>
  <c r="AW38" i="7"/>
  <c r="AW31" i="7"/>
  <c r="AW30" i="7"/>
  <c r="AW23" i="7"/>
  <c r="AW36" i="7"/>
  <c r="AO77" i="7"/>
  <c r="AO43" i="7"/>
  <c r="AO32" i="7"/>
  <c r="AO31" i="7"/>
  <c r="AO44" i="7"/>
  <c r="AO26" i="7"/>
  <c r="AO24" i="7"/>
  <c r="AO25" i="7"/>
  <c r="AO30" i="7"/>
  <c r="AO37" i="7"/>
  <c r="AO42" i="7"/>
  <c r="AO17" i="7"/>
  <c r="AO20" i="7"/>
  <c r="AO18" i="7"/>
  <c r="AO41" i="7"/>
  <c r="AO75" i="7"/>
  <c r="AO78" i="7"/>
  <c r="AO19" i="7"/>
  <c r="AO76" i="7"/>
  <c r="AO36" i="7"/>
  <c r="AO29" i="7"/>
  <c r="AO35" i="7"/>
  <c r="AO23" i="7"/>
  <c r="AO38" i="7"/>
  <c r="AQ35" i="7"/>
  <c r="AQ76" i="7"/>
  <c r="AQ77" i="7"/>
  <c r="AQ20" i="7"/>
  <c r="AQ75" i="7"/>
  <c r="AQ42" i="7"/>
  <c r="AQ36" i="7"/>
  <c r="AQ29" i="7"/>
  <c r="AQ19" i="7"/>
  <c r="AQ17" i="7"/>
  <c r="AQ31" i="7"/>
  <c r="AQ24" i="7"/>
  <c r="AQ38" i="7"/>
  <c r="AQ37" i="7"/>
  <c r="AQ18" i="7"/>
  <c r="AQ25" i="7"/>
  <c r="AQ44" i="7"/>
  <c r="AQ78" i="7"/>
  <c r="AQ41" i="7"/>
  <c r="AQ32" i="7"/>
  <c r="AQ26" i="7"/>
  <c r="AQ30" i="7"/>
  <c r="AQ23" i="7"/>
  <c r="AQ4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<sst xmlns="http://schemas.openxmlformats.org/spreadsheetml/2006/main" count="5540" uniqueCount="3120">
  <si>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</si>
  <si>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</si>
  <si>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</si>
  <si>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</si>
  <si>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</si>
  <si>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</si>
  <si>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</si>
  <si>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</si>
  <si>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</si>
  <si>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</si>
  <si>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</si>
  <si>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</si>
  <si>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</si>
  <si>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</si>
  <si>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</si>
  <si>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</si>
  <si>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</si>
  <si>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</si>
  <si>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</si>
  <si>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</si>
  <si>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</si>
  <si>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</si>
  <si>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</si>
  <si>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</si>
  <si>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</si>
  <si>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</si>
  <si>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</si>
  <si>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</si>
  <si>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</si>
  <si>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</si>
  <si>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</si>
  <si>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</si>
  <si>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</si>
  <si>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</si>
  <si>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</si>
  <si>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</si>
  <si>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</si>
  <si>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</si>
  <si>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</si>
  <si>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</si>
  <si>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</si>
  <si>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</si>
  <si>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</si>
  <si>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</si>
  <si>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</si>
  <si>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</si>
  <si>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</si>
  <si>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</si>
  <si>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</si>
  <si>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</si>
  <si>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</si>
  <si>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</si>
  <si>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</si>
  <si>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</si>
  <si>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</si>
  <si>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</si>
  <si>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</si>
  <si>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</si>
  <si>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</si>
  <si>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</si>
  <si>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</si>
  <si>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</si>
  <si>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</si>
  <si>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</si>
  <si>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</si>
  <si>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</si>
  <si>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</si>
  <si>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</si>
  <si>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</si>
  <si>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</si>
  <si>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</si>
  <si>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</si>
  <si>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</si>
  <si>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</si>
  <si>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</si>
  <si>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</si>
  <si>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</si>
  <si>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</si>
  <si>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</si>
  <si>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</si>
  <si>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</si>
  <si>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</si>
  <si>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</si>
  <si>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</si>
  <si>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</si>
  <si>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</si>
  <si>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</si>
  <si>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</si>
  <si>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</si>
  <si>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</si>
  <si>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</si>
  <si>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</si>
  <si>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</si>
  <si>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</si>
  <si>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</si>
  <si>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</si>
  <si>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</si>
  <si>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</si>
  <si>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</si>
  <si>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</si>
  <si>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</si>
  <si>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</si>
  <si>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</si>
  <si>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</si>
  <si>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</si>
  <si>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</si>
  <si>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</si>
  <si>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</si>
  <si>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</si>
  <si>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</si>
  <si>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</si>
  <si>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</si>
  <si>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</si>
  <si>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</si>
  <si>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</si>
  <si>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</si>
  <si>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</si>
  <si>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</si>
  <si>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</si>
  <si>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</si>
  <si>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</si>
  <si>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</si>
  <si>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</si>
  <si>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</si>
  <si>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</si>
  <si>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</si>
  <si>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</si>
  <si>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</si>
  <si>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</si>
  <si>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</si>
  <si>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</si>
  <si>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</si>
  <si>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</si>
  <si>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</si>
  <si>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</si>
  <si>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</si>
  <si>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</si>
  <si>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</si>
  <si>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</si>
  <si>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</si>
  <si>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</si>
  <si>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</si>
  <si>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</si>
  <si>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</si>
  <si>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</si>
  <si>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</si>
  <si>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</si>
  <si>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</si>
  <si>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</si>
  <si>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</si>
  <si>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</si>
  <si>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</si>
  <si>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</si>
  <si>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</si>
  <si>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</si>
  <si>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</si>
  <si>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</si>
  <si>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</si>
  <si>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</si>
  <si>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</si>
  <si>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</si>
  <si>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</si>
  <si>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</si>
  <si>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</si>
  <si>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</si>
  <si>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</si>
  <si>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</si>
  <si>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</si>
  <si>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</si>
  <si>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</si>
  <si>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</si>
  <si>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</si>
  <si>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</si>
  <si>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</si>
  <si>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</si>
  <si>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</si>
  <si>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</si>
  <si>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</si>
  <si>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</si>
  <si>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</si>
  <si>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</si>
  <si>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</si>
  <si>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</si>
  <si>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</si>
  <si>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</si>
  <si>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</si>
  <si>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</si>
  <si>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</si>
  <si>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</si>
  <si>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</si>
  <si>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</si>
  <si>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</si>
  <si>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</si>
  <si>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</si>
  <si>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</si>
  <si>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</si>
  <si>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</si>
  <si>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</si>
  <si>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</si>
  <si>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</si>
  <si>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</si>
  <si>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</si>
  <si>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</si>
  <si>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</si>
  <si>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</si>
  <si>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</si>
  <si>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</si>
  <si>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</si>
  <si>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</si>
  <si>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</si>
  <si>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</si>
  <si>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</si>
  <si>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</si>
  <si>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</si>
  <si>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</si>
  <si>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</si>
  <si>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</si>
  <si>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</si>
  <si>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</si>
  <si>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</si>
  <si>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</si>
  <si>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</si>
  <si>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</si>
  <si>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</si>
  <si>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</si>
  <si>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</si>
  <si>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</si>
  <si>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</si>
  <si>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</si>
  <si>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</si>
  <si>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</si>
  <si>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</si>
  <si>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</si>
  <si>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</si>
  <si>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</si>
  <si>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</si>
  <si>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</si>
  <si>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</si>
  <si>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</si>
  <si>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</si>
  <si>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</si>
  <si>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</si>
  <si>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</si>
  <si>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</si>
  <si>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</si>
  <si>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</si>
  <si>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</si>
  <si>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</si>
  <si>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</si>
  <si>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</si>
  <si>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</si>
  <si>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</si>
  <si>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</si>
  <si>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</si>
  <si>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</si>
  <si>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</si>
  <si>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</si>
  <si>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</si>
  <si>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</si>
  <si>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</si>
  <si>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</si>
  <si>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</si>
  <si>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</si>
  <si>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</si>
  <si>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</si>
  <si>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</si>
  <si>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</si>
  <si>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</si>
  <si>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</si>
  <si>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</si>
  <si>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</si>
  <si>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</si>
  <si>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</si>
  <si>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</si>
  <si>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</si>
  <si>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</si>
  <si>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</si>
  <si>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</si>
  <si>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</si>
  <si>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</si>
  <si>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</si>
  <si>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</si>
  <si>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</si>
  <si>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</si>
  <si>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</si>
  <si>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</si>
  <si>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</si>
  <si>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</si>
  <si>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</si>
  <si>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</si>
  <si>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</si>
  <si>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</si>
  <si>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</si>
  <si>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</si>
  <si>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</si>
  <si>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</si>
  <si>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</si>
  <si>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</si>
  <si>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</si>
  <si>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</si>
  <si>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</si>
  <si>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</si>
  <si>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</si>
  <si>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</si>
  <si>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</si>
  <si>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</si>
  <si>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</si>
  <si>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</si>
  <si>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</si>
  <si>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</si>
  <si>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</si>
  <si>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</si>
  <si>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</si>
  <si>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</si>
  <si>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</si>
  <si>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</si>
  <si>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</si>
  <si>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</si>
  <si>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</si>
  <si>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</si>
  <si>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</si>
  <si>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</si>
  <si>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</si>
  <si>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</si>
  <si>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</si>
  <si>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</si>
  <si>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</si>
  <si>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</si>
  <si>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</si>
  <si>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</si>
  <si>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</si>
  <si>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</si>
  <si>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</si>
  <si>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</si>
  <si>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</si>
  <si>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</si>
  <si>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</si>
  <si>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</si>
  <si>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</si>
  <si>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</si>
  <si>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</si>
  <si>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</si>
  <si>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</si>
  <si>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</si>
  <si>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</si>
  <si>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</si>
  <si>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</si>
  <si>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</si>
  <si>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</si>
  <si>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</si>
  <si>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</si>
  <si>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</si>
  <si>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</si>
  <si>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</si>
  <si>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</si>
  <si>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</si>
  <si>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</si>
  <si>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</si>
  <si>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</si>
  <si>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</si>
  <si>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</si>
  <si>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</si>
  <si>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</si>
  <si>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</si>
  <si>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</si>
  <si>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</si>
  <si>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</si>
  <si>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</si>
  <si>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</si>
  <si>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</si>
  <si>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</si>
  <si>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</si>
  <si>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</si>
  <si>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</si>
  <si>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</si>
  <si>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</si>
  <si>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</si>
  <si>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</si>
  <si>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</si>
  <si>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</si>
  <si>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</si>
  <si>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</si>
  <si>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</si>
  <si>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</si>
  <si>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</si>
  <si>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</si>
  <si>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</si>
  <si>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</si>
  <si>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</si>
  <si>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</si>
  <si>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</si>
  <si>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</si>
  <si>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</si>
  <si>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</si>
  <si>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</si>
  <si>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</si>
  <si>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</si>
  <si>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</si>
  <si>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</si>
  <si>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</si>
  <si>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</si>
  <si>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</si>
  <si>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</si>
  <si>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</si>
  <si>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</si>
  <si>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</si>
  <si>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</si>
  <si>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</si>
  <si>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</si>
  <si>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</si>
  <si>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</si>
  <si>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</si>
  <si>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</si>
  <si>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</si>
  <si>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</si>
  <si>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</si>
  <si>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</si>
  <si>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</si>
  <si>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</si>
  <si>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</si>
  <si>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</si>
  <si>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</si>
  <si>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</si>
  <si>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</si>
  <si>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</si>
  <si>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</si>
  <si>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</si>
  <si>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</si>
  <si>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</si>
  <si>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</si>
  <si>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</si>
  <si>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</si>
  <si>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</si>
  <si>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</si>
  <si>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</si>
  <si>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</si>
  <si>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</si>
  <si>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</si>
  <si>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</si>
  <si>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</si>
  <si>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</si>
  <si>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</si>
  <si>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</si>
  <si>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</si>
  <si>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</si>
  <si>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</si>
  <si>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</si>
  <si>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</si>
  <si>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</si>
  <si>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</si>
  <si>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</si>
  <si>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</si>
  <si>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</si>
  <si>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</si>
  <si>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</si>
  <si>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</si>
  <si>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</si>
  <si>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</si>
  <si>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</si>
  <si>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</si>
  <si>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</si>
  <si>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</si>
  <si>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</si>
  <si>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</si>
  <si>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</si>
  <si>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</si>
  <si>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</si>
  <si>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</si>
  <si>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</si>
  <si>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</si>
  <si>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</si>
  <si>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</si>
  <si>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</si>
  <si>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</si>
  <si>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</si>
  <si>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</si>
  <si>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</si>
  <si>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</si>
  <si>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</si>
  <si>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</si>
  <si>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</si>
  <si>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</si>
  <si>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</si>
  <si>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</si>
  <si>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</si>
  <si>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</si>
  <si>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</si>
  <si>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</si>
  <si>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</si>
  <si>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</si>
  <si>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</si>
  <si>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</si>
  <si>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</si>
  <si>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</si>
  <si>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</si>
  <si>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</si>
  <si>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</si>
  <si>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</si>
  <si>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</si>
  <si>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</si>
  <si>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</si>
  <si>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</si>
  <si>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</si>
  <si>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</si>
  <si>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</si>
  <si>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</si>
  <si>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</si>
  <si>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</si>
  <si>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</si>
  <si>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</si>
  <si>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</si>
  <si>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</si>
  <si>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</si>
  <si>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</si>
  <si>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</si>
  <si>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</si>
  <si>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</si>
  <si>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</si>
  <si>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</si>
  <si>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</si>
  <si>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</si>
  <si>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</si>
  <si>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</si>
  <si>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</si>
  <si>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</si>
  <si>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</si>
  <si>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</si>
  <si>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</si>
  <si>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</si>
  <si>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</si>
  <si>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</si>
  <si>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</si>
  <si>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</si>
  <si>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</si>
  <si>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</si>
  <si>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</si>
  <si>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</si>
  <si>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</si>
  <si>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</si>
  <si>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</si>
  <si>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</si>
  <si>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</si>
  <si>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</si>
  <si>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</si>
  <si>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</si>
  <si>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</si>
  <si>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</si>
  <si>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</si>
  <si>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</si>
  <si>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</si>
  <si>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</si>
  <si>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</si>
  <si>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</si>
  <si>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</si>
  <si>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</si>
  <si>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</si>
  <si>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</si>
  <si>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</si>
  <si>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</si>
  <si>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</si>
  <si>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</si>
  <si>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</si>
  <si>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</si>
  <si>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</si>
  <si>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</si>
  <si>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</si>
  <si>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</si>
  <si>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</si>
  <si>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</si>
  <si>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</si>
  <si>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</si>
  <si>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</si>
  <si>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</si>
  <si>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</si>
  <si>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</si>
  <si>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</si>
  <si>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</si>
  <si>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</si>
  <si>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</si>
  <si>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</si>
  <si>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</si>
  <si>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</si>
  <si>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</si>
  <si>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</si>
  <si>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</si>
  <si>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</si>
  <si>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</si>
  <si>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</si>
  <si>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</si>
  <si>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</si>
  <si>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</si>
  <si>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</si>
  <si>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</si>
  <si>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</si>
  <si>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</si>
  <si>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</si>
  <si>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</si>
  <si>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</si>
  <si>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</si>
  <si>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</si>
  <si>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</si>
  <si>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</si>
  <si>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</si>
  <si>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</si>
  <si>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</si>
  <si>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</si>
  <si>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</si>
  <si>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</si>
  <si>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</si>
  <si>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</si>
  <si>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</si>
  <si>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</si>
  <si>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</si>
  <si>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</si>
  <si>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</si>
  <si>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</si>
  <si>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</si>
  <si>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</si>
  <si>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</si>
  <si>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</si>
  <si>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</si>
  <si>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</si>
  <si>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</si>
  <si>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</si>
  <si>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</si>
  <si>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</si>
  <si>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</si>
  <si>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</si>
  <si>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</si>
  <si>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</si>
  <si>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</si>
  <si>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</si>
  <si>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</si>
  <si>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</si>
  <si>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</si>
  <si>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</si>
  <si>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</si>
  <si>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</si>
  <si>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</si>
  <si>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</si>
  <si>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</si>
  <si>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</si>
  <si>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</si>
  <si>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</si>
  <si>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</si>
  <si>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</si>
  <si>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</si>
  <si>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</si>
  <si>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</si>
  <si>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</si>
  <si>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</si>
  <si>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</si>
  <si>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</si>
  <si>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</si>
  <si>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</si>
  <si>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</si>
  <si>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</si>
  <si>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</si>
  <si>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</si>
  <si>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</si>
  <si>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</si>
  <si>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</si>
  <si>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</si>
  <si>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</si>
  <si>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</si>
  <si>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</si>
  <si>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</si>
  <si>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</si>
  <si>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</si>
  <si>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</si>
  <si>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</si>
  <si>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</si>
  <si>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</si>
  <si>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</si>
  <si>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</si>
  <si>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</si>
  <si>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</si>
  <si>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</si>
  <si>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</si>
  <si>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</si>
  <si>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</si>
  <si>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</si>
  <si>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</si>
  <si>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</si>
  <si>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</si>
  <si>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</si>
  <si>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</si>
  <si>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</si>
  <si>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</si>
  <si>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</si>
  <si>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</si>
  <si>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</si>
  <si>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</si>
  <si>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</si>
  <si>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</si>
  <si>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</si>
  <si>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</si>
  <si>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</si>
  <si>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</si>
  <si>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</si>
  <si>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</si>
  <si>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</si>
  <si>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</si>
  <si>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</si>
  <si>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</si>
  <si>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</si>
  <si>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</si>
  <si>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</si>
  <si>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</si>
  <si>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</si>
  <si>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</si>
  <si>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</si>
  <si>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</si>
  <si>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</si>
  <si>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</si>
  <si>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</si>
  <si>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</si>
  <si>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</si>
  <si>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</si>
  <si>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</si>
  <si>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</si>
  <si>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</si>
  <si>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</si>
  <si>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</si>
  <si>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</si>
  <si>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</si>
  <si>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</si>
  <si>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</si>
  <si>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</si>
  <si>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</si>
  <si>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</si>
  <si>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</si>
  <si>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</si>
  <si>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</si>
  <si>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</si>
  <si>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</si>
  <si>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</si>
  <si>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</si>
  <si>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</si>
  <si>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</si>
  <si>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</si>
  <si>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</si>
  <si>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</si>
  <si>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</si>
  <si>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</si>
  <si>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</si>
  <si>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</si>
  <si>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</si>
  <si>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</si>
  <si>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</si>
  <si>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</si>
  <si>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</si>
  <si>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</si>
  <si>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</si>
  <si>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</si>
  <si>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</si>
  <si>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</si>
  <si>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</si>
  <si>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</si>
  <si>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</si>
  <si>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</si>
  <si>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</si>
  <si>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</si>
  <si>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</si>
  <si>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</si>
  <si>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</si>
  <si>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</si>
  <si>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</si>
  <si>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</si>
  <si>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</si>
  <si>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</si>
  <si>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</si>
  <si>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</si>
  <si>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</si>
  <si>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</si>
  <si>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</si>
  <si>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</si>
  <si>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</si>
  <si>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</si>
  <si>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</si>
  <si>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</si>
  <si>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</si>
  <si>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</si>
  <si>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</si>
  <si>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</si>
  <si>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</si>
  <si>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</si>
  <si>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</si>
  <si>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</si>
  <si>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</si>
  <si>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</si>
  <si>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</si>
  <si>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</si>
  <si>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</si>
  <si>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</si>
  <si>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</si>
  <si>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</si>
  <si>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</si>
  <si>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</si>
  <si>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</si>
  <si>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</si>
  <si>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</si>
  <si>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</si>
  <si>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</si>
  <si>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</si>
  <si>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</si>
  <si>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</si>
  <si>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</si>
  <si>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</si>
  <si>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</si>
  <si>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</si>
  <si>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</si>
  <si>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</si>
  <si>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</si>
  <si>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</si>
  <si>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</si>
  <si>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</si>
  <si>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</si>
  <si>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</si>
  <si>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</si>
  <si>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</si>
  <si>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</si>
  <si>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</si>
  <si>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</si>
  <si>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</si>
  <si>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</si>
  <si>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</si>
  <si>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</si>
  <si>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</si>
  <si>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</si>
  <si>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</si>
  <si>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</si>
  <si>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</si>
  <si>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</si>
  <si>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</si>
  <si>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</si>
  <si>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</si>
  <si>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</si>
  <si>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</si>
  <si>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</si>
  <si>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</si>
  <si>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</si>
  <si>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</si>
  <si>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</si>
  <si>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</si>
  <si>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</si>
  <si>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</si>
  <si>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</si>
  <si>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</si>
  <si>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</si>
  <si>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</si>
  <si>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</si>
  <si>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</si>
  <si>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</si>
  <si>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</si>
  <si>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</si>
  <si>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</si>
  <si>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</si>
  <si>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</si>
  <si>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</si>
  <si>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</si>
  <si>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</si>
  <si>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</si>
  <si>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</si>
  <si>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</si>
  <si>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</si>
  <si>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</si>
  <si>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</si>
  <si>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</si>
  <si>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</si>
  <si>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</si>
  <si>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</si>
  <si>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</si>
  <si>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</si>
  <si>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</si>
  <si>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</si>
  <si>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</si>
  <si>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</si>
  <si>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</si>
  <si>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</si>
  <si>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</si>
  <si>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</si>
  <si>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</si>
  <si>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</si>
  <si>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</si>
  <si>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</si>
  <si>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</si>
  <si>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</si>
  <si>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</si>
  <si>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</si>
  <si>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</si>
  <si>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</si>
  <si>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</si>
  <si>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</si>
  <si>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</si>
  <si>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</si>
  <si>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</si>
  <si>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</si>
  <si>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</si>
  <si>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</si>
  <si>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</si>
  <si>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</si>
  <si>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</si>
  <si>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</si>
  <si>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</si>
  <si>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</si>
  <si>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</si>
  <si>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</si>
  <si>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</si>
  <si>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</si>
  <si>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</si>
  <si>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</si>
  <si>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</si>
  <si>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</si>
  <si>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</si>
  <si>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</si>
  <si>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</si>
  <si>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</si>
  <si>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</si>
  <si>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</si>
  <si>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</si>
  <si>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</si>
  <si>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</si>
  <si>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</si>
  <si>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</si>
  <si>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</si>
  <si>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</si>
  <si>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</si>
  <si>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</si>
  <si>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</si>
  <si>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</si>
  <si>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</si>
  <si>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</si>
  <si>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</si>
  <si>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</si>
  <si>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</si>
  <si>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</si>
  <si>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</si>
  <si>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</si>
  <si>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</si>
  <si>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</si>
  <si>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</si>
  <si>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</si>
  <si>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</si>
  <si>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</si>
  <si>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</si>
  <si>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</si>
  <si>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</si>
  <si>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</si>
  <si>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</si>
  <si>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</si>
  <si>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</si>
  <si>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</si>
  <si>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</si>
  <si>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</si>
  <si>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</si>
  <si>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</si>
  <si>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</si>
  <si>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</si>
  <si>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</si>
  <si>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</si>
  <si>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</si>
  <si>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</si>
  <si>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</si>
  <si>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</si>
  <si>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</si>
  <si>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</si>
  <si>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</si>
  <si>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</si>
  <si>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</si>
  <si>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</si>
  <si>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</si>
  <si>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</si>
  <si>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</si>
  <si>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</si>
  <si>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</si>
  <si>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</si>
  <si>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</si>
  <si>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</si>
  <si>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</si>
  <si>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</si>
  <si>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</si>
  <si>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</si>
  <si>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</si>
  <si>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</si>
  <si>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</si>
  <si>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</si>
  <si>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</si>
  <si>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</si>
  <si>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</si>
  <si>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</si>
  <si>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</si>
  <si>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</si>
  <si>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</si>
  <si>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</si>
  <si>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</si>
  <si>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</si>
  <si>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</si>
  <si>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</si>
  <si>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</si>
  <si>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</si>
  <si>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</si>
  <si>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</si>
  <si>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</si>
  <si>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</si>
  <si>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</si>
  <si>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</si>
  <si>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</si>
  <si>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</si>
  <si>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</si>
  <si>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</si>
  <si>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</si>
  <si>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</si>
  <si>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</si>
  <si>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</si>
  <si>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</si>
  <si>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</si>
  <si>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</si>
  <si>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</si>
  <si>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</si>
  <si>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</si>
  <si>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</si>
  <si>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</si>
  <si>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</si>
  <si>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</si>
  <si>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</si>
  <si>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</si>
  <si>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</si>
  <si>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</si>
  <si>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</si>
  <si>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</si>
  <si>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</si>
  <si>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</si>
  <si>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</si>
  <si>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</si>
  <si>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</si>
  <si>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</si>
  <si>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</si>
  <si>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</si>
  <si>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</si>
  <si>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</si>
  <si>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</si>
  <si>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</si>
  <si>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</si>
  <si>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</si>
  <si>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</si>
  <si>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</si>
  <si>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</si>
  <si>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</si>
  <si>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</si>
  <si>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</si>
  <si>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</si>
  <si>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</si>
  <si>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</si>
  <si>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</si>
  <si>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</si>
  <si>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</si>
  <si>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</si>
  <si>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</si>
  <si>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</si>
  <si>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</si>
  <si>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</si>
  <si>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</si>
  <si>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</si>
  <si>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</si>
  <si>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</si>
  <si>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</si>
  <si>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</si>
  <si>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</si>
  <si>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</si>
  <si>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</si>
  <si>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</si>
  <si>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</si>
  <si>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</si>
  <si>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</si>
  <si>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</si>
  <si>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</si>
  <si>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</si>
  <si>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</si>
  <si>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</si>
  <si>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</si>
  <si>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</si>
  <si>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</si>
  <si>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</si>
  <si>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</si>
  <si>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</si>
  <si>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</si>
  <si>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</si>
  <si>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</si>
  <si>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</si>
  <si>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</si>
  <si>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</si>
  <si>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</si>
  <si>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</si>
  <si>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</si>
  <si>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</si>
  <si>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</si>
  <si>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</si>
  <si>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</si>
  <si>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</si>
  <si>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</si>
  <si>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</si>
  <si>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</si>
  <si>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</si>
  <si>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</si>
  <si>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</si>
  <si>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</si>
  <si>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</si>
  <si>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</si>
  <si>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</si>
  <si>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</si>
  <si>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</si>
  <si>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</si>
  <si>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</si>
  <si>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</si>
  <si>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</si>
  <si>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</si>
  <si>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</si>
  <si>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</si>
  <si>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</si>
  <si>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</si>
  <si>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</si>
  <si>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</si>
  <si>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</si>
  <si>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</si>
  <si>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</si>
  <si>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</si>
  <si>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</si>
  <si>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</si>
  <si>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</si>
  <si>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</si>
  <si>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</si>
  <si>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</si>
  <si>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</si>
  <si>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</si>
  <si>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</si>
  <si>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</si>
  <si>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</si>
  <si>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</si>
  <si>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</si>
  <si>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</si>
  <si>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</si>
  <si>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</si>
  <si>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</si>
  <si>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</si>
  <si>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</si>
  <si>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</si>
  <si>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</si>
  <si>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</si>
  <si>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</si>
  <si>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</si>
  <si>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</si>
  <si>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</si>
  <si>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</si>
  <si>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</si>
  <si>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</si>
  <si>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</si>
  <si>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</si>
  <si>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</si>
  <si>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</si>
  <si>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</si>
  <si>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</si>
  <si>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</si>
  <si>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</si>
  <si>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</si>
  <si>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</si>
  <si>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</si>
  <si>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</si>
  <si>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</si>
  <si>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</si>
  <si>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</si>
  <si>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</si>
  <si>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</si>
  <si>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</si>
  <si>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</si>
  <si>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</si>
  <si>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</si>
  <si>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</si>
  <si>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</si>
  <si>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</si>
  <si>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</si>
  <si>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</si>
  <si>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</si>
  <si>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</si>
  <si>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</si>
  <si>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</si>
  <si>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</si>
  <si>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</si>
  <si>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</si>
  <si>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</si>
  <si>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</si>
  <si>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</si>
  <si>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</si>
  <si>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</si>
  <si>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</si>
  <si>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</si>
  <si>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</si>
  <si>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</si>
  <si>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</si>
  <si>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</si>
  <si>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</si>
  <si>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</si>
  <si>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</si>
  <si>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</si>
  <si>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</si>
  <si>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</si>
  <si>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</si>
  <si>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</si>
  <si>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</si>
  <si>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</si>
  <si>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</si>
  <si>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</si>
  <si>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</si>
  <si>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</si>
  <si>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</si>
  <si>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</si>
  <si>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</si>
  <si>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</si>
  <si>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</si>
  <si>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</si>
  <si>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</si>
  <si>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</si>
  <si>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</si>
  <si>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</si>
  <si>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</si>
  <si>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</si>
  <si>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</si>
  <si>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</si>
  <si>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</si>
  <si>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</si>
  <si>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</si>
  <si>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</si>
  <si>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</si>
  <si>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</si>
  <si>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</si>
  <si>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</si>
  <si>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</si>
  <si>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</si>
  <si>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</si>
  <si>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</si>
  <si>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</si>
  <si>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</si>
  <si>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</si>
  <si>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</si>
  <si>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</si>
  <si>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</si>
  <si>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</si>
  <si>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</si>
  <si>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</si>
  <si>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</si>
  <si>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</si>
  <si>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</si>
  <si>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</si>
  <si>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</si>
  <si>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</si>
  <si>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</si>
  <si>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</si>
  <si>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</si>
  <si>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</si>
  <si>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</si>
  <si>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</si>
  <si>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</si>
  <si>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</si>
  <si>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</si>
  <si>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</si>
  <si>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</si>
  <si>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</si>
  <si>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</si>
  <si>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</si>
  <si>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</si>
  <si>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</si>
  <si>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</si>
  <si>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</si>
  <si>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</si>
  <si>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</si>
  <si>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</si>
  <si>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</si>
  <si>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</si>
  <si>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</si>
  <si>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</si>
  <si>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</si>
  <si>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</si>
  <si>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</si>
  <si>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</si>
  <si>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</si>
  <si>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</si>
  <si>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</si>
  <si>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</si>
  <si>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</si>
  <si>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</si>
  <si>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</si>
  <si>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</si>
  <si>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</si>
  <si>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</si>
  <si>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</si>
  <si>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</si>
  <si>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</si>
  <si>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</si>
  <si>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</si>
  <si>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</si>
  <si>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</si>
  <si>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</si>
  <si>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</si>
  <si>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</si>
  <si>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</si>
  <si>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</si>
  <si>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</si>
  <si>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</si>
  <si>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</si>
  <si>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</si>
  <si>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</si>
  <si>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</si>
  <si>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</si>
  <si>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</si>
  <si>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</si>
  <si>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</si>
  <si>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</si>
  <si>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</si>
  <si>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</si>
  <si>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</si>
  <si>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</si>
  <si>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</si>
  <si>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</si>
  <si>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</si>
  <si>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</si>
  <si>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</si>
  <si>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</si>
  <si>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</si>
  <si>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</si>
  <si>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</si>
  <si>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</si>
  <si>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</si>
  <si>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</si>
  <si>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</si>
  <si>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</si>
  <si>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</si>
  <si>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</si>
  <si>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</si>
  <si>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</si>
  <si>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</si>
  <si>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</si>
  <si>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</si>
  <si>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</si>
  <si>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</si>
  <si>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</si>
  <si>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</si>
  <si>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</si>
  <si>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</si>
  <si>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</si>
  <si>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</si>
  <si>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</si>
  <si>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</si>
  <si>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</si>
  <si>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</si>
  <si>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</si>
  <si>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</si>
  <si>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</si>
  <si>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</si>
  <si>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</si>
  <si>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</si>
  <si>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</si>
  <si>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</si>
  <si>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</si>
  <si>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</si>
  <si>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</si>
  <si>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</si>
  <si>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</si>
  <si>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</si>
  <si>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</si>
  <si>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</si>
  <si>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</si>
  <si>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</si>
  <si>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</si>
  <si>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</si>
  <si>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</si>
  <si>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</si>
  <si>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</si>
  <si>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</si>
  <si>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</si>
  <si>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</si>
  <si>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</si>
  <si>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</si>
  <si>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</si>
  <si>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</si>
  <si>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</si>
  <si>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</si>
  <si>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</si>
  <si>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</si>
  <si>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</si>
  <si>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</si>
  <si>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</si>
  <si>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</si>
  <si>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</si>
  <si>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</si>
  <si>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</si>
  <si>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</si>
  <si>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</si>
  <si>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</si>
  <si>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</si>
  <si>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</si>
  <si>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</si>
  <si>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</si>
  <si>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</si>
  <si>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</si>
  <si>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</si>
  <si>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</si>
  <si>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</si>
  <si>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</si>
  <si>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</si>
  <si>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</si>
  <si>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</si>
  <si>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</si>
  <si>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</si>
  <si>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</si>
  <si>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</si>
  <si>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</si>
  <si>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</si>
  <si>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</si>
  <si>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</si>
  <si>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</si>
  <si>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</si>
  <si>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</si>
  <si>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</si>
  <si>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</si>
  <si>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</si>
  <si>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</si>
  <si>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</si>
  <si>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</si>
  <si>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</si>
  <si>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</si>
  <si>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</si>
  <si>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</si>
  <si>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</si>
  <si>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</si>
  <si>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</si>
  <si>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</si>
  <si>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</si>
  <si>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</si>
  <si>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</si>
  <si>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</si>
  <si>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</si>
  <si>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</si>
  <si>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</si>
  <si>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</si>
  <si>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</si>
  <si>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</si>
  <si>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</si>
  <si>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</si>
  <si>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</si>
  <si>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</si>
  <si>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</si>
  <si>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</si>
  <si>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</si>
  <si>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</si>
  <si>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</si>
  <si>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</si>
  <si>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</si>
  <si>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</si>
  <si>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</si>
  <si>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</si>
  <si>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</si>
  <si>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</si>
  <si>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</si>
  <si>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</si>
  <si>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</si>
  <si>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</si>
  <si>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</si>
  <si>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</si>
  <si>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</si>
  <si>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</si>
  <si>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</si>
  <si>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</si>
  <si>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</si>
  <si>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</si>
  <si>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</si>
  <si>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</si>
  <si>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</si>
  <si>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</si>
  <si>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</si>
  <si>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</si>
  <si>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</si>
  <si>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</si>
  <si>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</si>
  <si>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</si>
  <si>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</si>
  <si>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</si>
  <si>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</si>
  <si>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</si>
  <si>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</si>
  <si>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</si>
  <si>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</si>
  <si>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</si>
  <si>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</si>
  <si>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</si>
  <si>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</si>
  <si>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</si>
  <si>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</si>
  <si>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</si>
  <si>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</si>
  <si>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</si>
  <si>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</si>
  <si>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</si>
  <si>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</si>
  <si>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</si>
  <si>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</si>
  <si>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</si>
  <si>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</si>
  <si>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</si>
  <si>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</si>
  <si>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</si>
  <si>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</si>
  <si>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</si>
  <si>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</si>
  <si>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</si>
  <si>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</si>
  <si>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</si>
  <si>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</si>
  <si>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</si>
  <si>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</si>
  <si>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</si>
  <si>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</si>
  <si>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</si>
  <si>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</si>
  <si>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</si>
  <si>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</si>
  <si>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</si>
  <si>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</si>
  <si>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</si>
  <si>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</si>
  <si>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</si>
  <si>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</si>
  <si>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</si>
  <si>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</si>
  <si>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</si>
  <si>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</si>
  <si>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</si>
  <si>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</si>
  <si>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</si>
  <si>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</si>
  <si>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</si>
  <si>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</si>
  <si>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</si>
  <si>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</si>
  <si>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</si>
  <si>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</si>
  <si>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</si>
  <si>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</si>
  <si>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</si>
  <si>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</si>
  <si>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</si>
  <si>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</si>
  <si>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</si>
  <si>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</si>
  <si>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</si>
  <si>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</si>
  <si>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</si>
  <si>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</si>
  <si>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</si>
  <si>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</si>
  <si>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</si>
  <si>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</si>
  <si>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</si>
  <si>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</si>
  <si>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</si>
  <si>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</si>
  <si>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</si>
  <si>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</si>
  <si>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</si>
  <si>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</si>
  <si>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</si>
  <si>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</si>
  <si>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</si>
  <si>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</si>
  <si>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</si>
  <si>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</si>
  <si>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</si>
  <si>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</si>
  <si>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</si>
  <si>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</si>
  <si>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</si>
  <si>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</si>
  <si>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</si>
  <si>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</si>
  <si>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</si>
  <si>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</si>
  <si>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</si>
  <si>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</si>
  <si>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</si>
  <si>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</si>
  <si>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</si>
  <si>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</si>
  <si>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</si>
  <si>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</si>
  <si>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</si>
  <si>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</si>
  <si>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</si>
  <si>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</si>
  <si>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</si>
  <si>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</si>
  <si>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</si>
  <si>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</si>
  <si>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</si>
  <si>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</si>
  <si>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</si>
  <si>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</si>
  <si>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</si>
  <si>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</si>
  <si>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</si>
  <si>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</si>
  <si>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</si>
  <si>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</si>
  <si>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</si>
  <si>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</si>
  <si>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</si>
  <si>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</si>
  <si>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</si>
  <si>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</si>
  <si>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</si>
  <si>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</si>
  <si>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</si>
  <si>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</si>
  <si>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</si>
  <si>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</si>
  <si>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</si>
  <si>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</si>
  <si>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</si>
  <si>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</si>
  <si>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</si>
  <si>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</si>
  <si>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</si>
  <si>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</si>
  <si>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</si>
  <si>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</si>
  <si>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</si>
  <si>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</si>
  <si>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</si>
  <si>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</si>
  <si>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</si>
  <si>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</si>
  <si>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</si>
  <si>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</si>
  <si>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</si>
  <si>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</si>
  <si>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</si>
  <si>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</si>
  <si>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</si>
  <si>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</si>
  <si>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</si>
  <si>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</si>
  <si>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</si>
  <si>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</si>
  <si>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</si>
  <si>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</si>
  <si>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</si>
  <si>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</si>
  <si>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</si>
  <si>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</si>
  <si>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</si>
  <si>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</si>
  <si>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</si>
  <si>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</si>
  <si>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</si>
  <si>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</si>
  <si>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</si>
  <si>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</si>
  <si>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</si>
  <si>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</si>
  <si>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</si>
  <si>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</si>
  <si>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</si>
  <si>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</si>
  <si>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</si>
  <si>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</si>
  <si>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</si>
  <si>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</si>
  <si>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</si>
  <si>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</si>
  <si>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</si>
  <si>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</si>
  <si>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</si>
  <si>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</si>
  <si>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</si>
  <si>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</si>
  <si>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</si>
  <si>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</si>
  <si>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</si>
  <si>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</si>
  <si>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</si>
  <si>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</si>
  <si>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</si>
  <si>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</si>
  <si>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</si>
  <si>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</si>
  <si>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</si>
  <si>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</si>
  <si>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</si>
  <si>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</si>
  <si>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</si>
  <si>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</si>
  <si>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</si>
  <si>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</si>
  <si>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</si>
  <si>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</si>
  <si>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</si>
  <si>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</si>
  <si>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</si>
  <si>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</si>
  <si>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</si>
  <si>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</si>
  <si>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</si>
  <si>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</si>
  <si>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</si>
  <si>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</si>
  <si>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</si>
  <si>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</si>
  <si>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</si>
  <si>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</si>
  <si>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</si>
  <si>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</si>
  <si>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</si>
  <si>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</si>
  <si>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</si>
  <si>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</si>
  <si>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</si>
  <si>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</si>
  <si>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</si>
  <si>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</si>
  <si>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</si>
  <si>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</si>
  <si>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</si>
  <si>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</si>
  <si>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</si>
  <si>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</si>
  <si>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</si>
  <si>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</si>
  <si>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</si>
  <si>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</si>
  <si>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</si>
  <si>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</si>
  <si>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</si>
  <si>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</si>
  <si>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</si>
  <si>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</si>
  <si>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</si>
  <si>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</si>
  <si>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</si>
  <si>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</si>
  <si>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</si>
  <si>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</si>
  <si>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</si>
  <si>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</si>
  <si>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</si>
  <si>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</si>
  <si>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</si>
  <si>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</si>
  <si>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</si>
  <si>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</si>
  <si>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</si>
  <si>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</si>
  <si>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</si>
  <si>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</si>
  <si>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</si>
  <si>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</si>
  <si>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</si>
  <si>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</si>
  <si>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</si>
  <si>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</si>
  <si>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</si>
  <si>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</si>
  <si>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</si>
  <si>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</si>
  <si>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</si>
  <si>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</si>
  <si>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</si>
  <si>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</si>
  <si>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</si>
  <si>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</si>
  <si>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</si>
  <si>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</si>
  <si>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</si>
  <si>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</si>
  <si>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</si>
  <si>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</si>
  <si>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</si>
  <si>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</si>
  <si>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</si>
  <si>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</si>
  <si>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</si>
  <si>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</si>
  <si>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</si>
  <si>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</si>
  <si>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</si>
  <si>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</si>
  <si>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</si>
  <si>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</si>
  <si>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</si>
  <si>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</si>
  <si>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</si>
  <si>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</si>
  <si>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</si>
  <si>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</si>
  <si>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</si>
  <si>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</si>
  <si>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</si>
  <si>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</si>
  <si>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</si>
  <si>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</si>
  <si>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</si>
  <si>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</si>
  <si>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</si>
  <si>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</si>
  <si>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</si>
  <si>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</si>
  <si>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</si>
  <si>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</si>
  <si>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</si>
  <si>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</si>
  <si>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</si>
  <si>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</si>
  <si>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</si>
  <si>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</si>
  <si>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</si>
  <si>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</si>
  <si>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</si>
  <si>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</si>
  <si>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</si>
  <si>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</si>
  <si>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</si>
  <si>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</si>
  <si>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</si>
  <si>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</si>
  <si>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</si>
  <si>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</si>
  <si>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</si>
  <si>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</si>
  <si>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</si>
  <si>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</si>
  <si>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</si>
  <si>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</si>
  <si>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</si>
  <si>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</si>
  <si>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</si>
  <si>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</si>
  <si>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</si>
  <si>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</si>
  <si>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</si>
  <si>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</si>
  <si>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</si>
  <si>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</si>
  <si>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</si>
  <si>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</si>
  <si>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</si>
  <si>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</si>
  <si>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</si>
  <si>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</si>
  <si>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</si>
  <si>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</si>
  <si>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</si>
  <si>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</si>
  <si>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</si>
  <si>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</si>
  <si>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</si>
  <si>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</si>
  <si>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</si>
  <si>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</si>
  <si>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</si>
  <si>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</si>
  <si>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</si>
  <si>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</si>
  <si>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</si>
  <si>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</si>
  <si>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</si>
  <si>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</si>
  <si>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</si>
  <si>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</si>
  <si>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</si>
  <si>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</si>
  <si>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</si>
  <si>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</si>
  <si>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</si>
  <si>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</si>
  <si>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</si>
  <si>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</si>
  <si>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</si>
  <si>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</si>
  <si>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</si>
  <si>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</si>
  <si>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</si>
  <si>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</si>
  <si>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</si>
  <si>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</si>
  <si>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</si>
  <si>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</si>
  <si>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</si>
  <si>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</si>
  <si>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</si>
  <si>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</si>
  <si>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</si>
  <si>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</si>
  <si>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</si>
  <si>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</si>
  <si>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</si>
  <si>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</si>
  <si>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</si>
  <si>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</si>
  <si>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</si>
  <si>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</si>
  <si>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</si>
  <si>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</si>
  <si>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</si>
  <si>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</si>
  <si>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</si>
  <si>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</si>
  <si>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</si>
  <si>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</si>
  <si>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</si>
  <si>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</si>
  <si>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</si>
  <si>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</si>
  <si>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</si>
  <si>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</si>
  <si>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</si>
  <si>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</si>
  <si>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</si>
  <si>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</si>
  <si>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</si>
  <si>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</si>
  <si>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</si>
  <si>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</si>
  <si>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</si>
  <si>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</si>
  <si>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</si>
  <si>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</si>
  <si>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</si>
  <si>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</si>
  <si>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</si>
  <si>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</si>
  <si>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</si>
  <si>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</si>
  <si>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</si>
  <si>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</si>
  <si>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</si>
  <si>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</si>
  <si>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</si>
  <si>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</si>
  <si>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</si>
  <si>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</si>
  <si>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</si>
  <si>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</si>
  <si>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</si>
  <si>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</si>
  <si>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</si>
  <si>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</si>
  <si>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</si>
  <si>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</si>
  <si>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</si>
  <si>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</si>
  <si>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</si>
  <si>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</si>
  <si>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</si>
  <si>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</si>
  <si>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</si>
  <si>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</si>
  <si>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</si>
  <si>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</si>
  <si>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</si>
  <si>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</si>
  <si>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</si>
  <si>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</si>
  <si>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</si>
  <si>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</si>
  <si>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</si>
  <si>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</si>
  <si>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</si>
  <si>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</si>
  <si>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</si>
  <si>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</si>
  <si>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</si>
  <si>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</si>
  <si>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</si>
  <si>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</si>
  <si>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</si>
  <si>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</si>
  <si>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</si>
  <si>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</si>
  <si>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</si>
  <si>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</si>
  <si>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</si>
  <si>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</si>
  <si>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</si>
  <si>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</si>
  <si>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</si>
  <si>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</si>
  <si>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</si>
  <si>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</si>
  <si>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</si>
  <si>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</si>
  <si>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</si>
  <si>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</si>
  <si>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</si>
  <si>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</si>
  <si>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</si>
  <si>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</si>
  <si>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</si>
  <si>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</si>
  <si>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</si>
  <si>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</si>
  <si>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</si>
  <si>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</si>
  <si>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</si>
  <si>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</si>
  <si>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</si>
  <si>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</si>
  <si>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</si>
  <si>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</si>
  <si>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</si>
  <si>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</si>
  <si>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</si>
  <si>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</si>
  <si>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</si>
  <si>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</si>
  <si>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</si>
  <si>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</si>
  <si>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</si>
  <si>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</si>
  <si>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</si>
  <si>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</si>
  <si>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</si>
  <si>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</si>
  <si>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</si>
  <si>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</si>
  <si>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</si>
  <si>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</si>
  <si>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</si>
  <si>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</si>
  <si>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</si>
  <si>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</si>
  <si>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</si>
  <si>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</si>
  <si>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</si>
  <si>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</si>
  <si>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</si>
  <si>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</si>
  <si>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</si>
  <si>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</si>
  <si>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</si>
  <si>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</si>
  <si>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</si>
  <si>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</si>
  <si>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</si>
  <si>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</si>
  <si>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</si>
  <si>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</si>
  <si>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</si>
  <si>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</si>
  <si>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</si>
  <si>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</si>
  <si>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</si>
  <si>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</si>
  <si>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</si>
  <si>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</si>
  <si>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</si>
  <si>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</si>
  <si>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</si>
  <si>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</si>
  <si>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</si>
  <si>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</si>
  <si>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</si>
  <si>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</si>
  <si>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</si>
  <si>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</si>
  <si>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</si>
  <si>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</si>
  <si>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</si>
  <si>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</si>
  <si>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</si>
  <si>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</si>
  <si>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</si>
  <si>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</si>
  <si>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</si>
  <si>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</si>
  <si>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</si>
  <si>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</si>
  <si>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</si>
  <si>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</si>
  <si>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</si>
  <si>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</si>
  <si>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</si>
  <si>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</si>
  <si>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</si>
  <si>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</si>
  <si>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</si>
  <si>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</si>
  <si>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</si>
  <si>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</si>
  <si>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</si>
  <si>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</si>
  <si>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</si>
  <si>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</si>
  <si>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</si>
  <si>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</si>
  <si>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</si>
  <si>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</si>
  <si>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</si>
  <si>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</si>
  <si>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</si>
  <si>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</si>
  <si>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</si>
  <si>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</si>
  <si>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</si>
  <si>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</si>
  <si>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</si>
  <si>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</si>
  <si>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</si>
  <si>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</si>
  <si>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</si>
  <si>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</si>
  <si>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</si>
  <si>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</si>
  <si>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</si>
  <si>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</si>
  <si>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</si>
  <si>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</si>
  <si>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</si>
  <si>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</si>
  <si>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</si>
  <si>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</si>
  <si>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</si>
  <si>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</si>
  <si>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</si>
  <si>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</si>
  <si>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</si>
  <si>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</si>
  <si>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</si>
  <si>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</si>
  <si>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</si>
  <si>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</si>
  <si>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</si>
  <si>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</si>
  <si>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</si>
  <si>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</si>
  <si>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</si>
  <si>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</si>
  <si>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</si>
  <si>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</si>
  <si>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</si>
  <si>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</si>
  <si>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</si>
  <si>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</si>
  <si>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</si>
  <si>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</si>
  <si>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</si>
  <si>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</si>
  <si>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</si>
  <si>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</si>
  <si>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</si>
  <si>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</si>
  <si>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</si>
  <si>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</si>
  <si>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</si>
  <si>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</si>
  <si>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</si>
  <si>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</si>
  <si>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</si>
  <si>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</si>
  <si>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</si>
  <si>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</si>
  <si>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</si>
  <si>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</si>
  <si>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</si>
  <si>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</si>
  <si>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</si>
  <si>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</si>
  <si>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</si>
  <si>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</si>
  <si>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</si>
  <si>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</si>
  <si>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</si>
  <si>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</si>
  <si>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</si>
  <si>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</si>
  <si>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</si>
  <si>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</si>
  <si>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</si>
  <si>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</si>
  <si>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</si>
  <si>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</si>
  <si>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</si>
  <si>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</si>
  <si>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</si>
  <si>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</si>
  <si>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</si>
  <si>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</si>
  <si>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</si>
  <si>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</si>
  <si>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</si>
  <si>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</si>
  <si>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</si>
  <si>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</si>
  <si>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</si>
  <si>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</si>
  <si>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</si>
  <si>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</si>
  <si>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</si>
  <si>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</si>
  <si>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</si>
  <si>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</si>
  <si>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</si>
  <si>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</si>
  <si>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</si>
  <si>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</si>
  <si>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</si>
  <si>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</si>
  <si>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</si>
  <si>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</si>
  <si>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</si>
  <si>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</si>
  <si>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</si>
  <si>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</si>
  <si>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</si>
  <si>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</si>
  <si>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</si>
  <si>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</si>
  <si>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</si>
  <si>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</si>
  <si>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</si>
  <si>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</si>
  <si>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</si>
  <si>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</si>
  <si>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</si>
  <si>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</si>
  <si>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</si>
  <si>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</si>
  <si>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</si>
  <si>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</si>
  <si>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</si>
  <si>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</si>
  <si>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</si>
  <si>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</si>
  <si>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</si>
  <si>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</si>
  <si>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</si>
  <si>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</si>
  <si>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</si>
  <si>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</si>
  <si>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</si>
  <si>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</si>
  <si>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</si>
  <si>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</si>
  <si>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</si>
  <si>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</si>
  <si>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</si>
  <si>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</si>
  <si>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</si>
  <si>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</si>
  <si>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</si>
  <si>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</si>
  <si>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</si>
  <si>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</si>
  <si>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</si>
  <si>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</si>
  <si>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</si>
  <si>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</si>
  <si>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</si>
  <si>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</si>
  <si>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</si>
  <si>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</si>
  <si>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</si>
  <si>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</si>
  <si>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</si>
  <si>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</si>
  <si>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</si>
  <si>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</si>
  <si>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</si>
  <si>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</si>
  <si>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</si>
  <si>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</si>
  <si>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</si>
  <si>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</si>
  <si>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</si>
  <si>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</si>
  <si>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</si>
  <si>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</si>
  <si>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</si>
  <si>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</si>
  <si>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</si>
  <si>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</si>
  <si>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</si>
  <si>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</si>
  <si>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</si>
  <si>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</si>
  <si>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</si>
  <si>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</si>
  <si>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</si>
  <si>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</si>
  <si>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</si>
  <si>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</si>
  <si>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</si>
  <si>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</si>
  <si>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</si>
  <si>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</si>
  <si>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</si>
  <si>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</si>
  <si>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</si>
  <si>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</si>
  <si>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</si>
  <si>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</si>
  <si>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</si>
  <si>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</si>
  <si>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</si>
  <si>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</si>
  <si>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</si>
  <si>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</si>
  <si>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</si>
  <si>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</si>
  <si>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</si>
  <si>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</si>
  <si>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</si>
  <si>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</si>
  <si>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</si>
  <si>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</si>
  <si>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</si>
  <si>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</si>
  <si>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</si>
  <si>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</si>
  <si>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</si>
  <si>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</si>
  <si>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</si>
  <si>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</si>
  <si>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</si>
  <si>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</si>
  <si>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</si>
  <si>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</si>
  <si>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</si>
  <si>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</si>
  <si>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</si>
  <si>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</si>
  <si>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</si>
  <si>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</si>
  <si>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</si>
  <si>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</si>
  <si>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</si>
  <si>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</si>
  <si>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</si>
  <si>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</si>
  <si>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</si>
  <si>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</si>
  <si>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</si>
  <si>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</si>
  <si>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</si>
  <si>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</si>
  <si>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</si>
  <si>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</si>
  <si>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</si>
  <si>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</si>
  <si>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</si>
  <si>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</si>
  <si>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</si>
  <si>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</si>
  <si>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</si>
  <si>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</si>
  <si>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</si>
  <si>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</si>
  <si>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</si>
  <si>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</si>
  <si>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</si>
  <si>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</si>
  <si>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</si>
  <si>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</si>
  <si>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</si>
  <si>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</si>
  <si>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</si>
  <si>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</si>
  <si>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</si>
  <si>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</si>
  <si>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</si>
  <si>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</si>
  <si>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</si>
  <si>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</si>
  <si>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</si>
  <si>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</si>
  <si>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</si>
  <si>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</si>
  <si>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</si>
  <si>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</si>
  <si>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</si>
  <si>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</si>
  <si>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</si>
  <si>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</si>
  <si>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</si>
  <si>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</si>
  <si>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</si>
  <si>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</si>
  <si>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</si>
  <si>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</si>
  <si>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</si>
  <si>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</si>
  <si>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</si>
  <si>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</si>
  <si>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</si>
  <si>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</si>
  <si>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</si>
  <si>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</si>
  <si>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</si>
  <si>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</si>
  <si>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</si>
  <si>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</si>
  <si>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</si>
  <si>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</si>
  <si>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</si>
  <si>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</si>
  <si>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</si>
  <si>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</si>
  <si>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</si>
  <si>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</si>
  <si>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</si>
  <si>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</si>
  <si>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</si>
  <si>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</si>
  <si>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</si>
  <si>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</si>
  <si>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</si>
  <si>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</si>
  <si>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</si>
  <si>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</si>
  <si>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</si>
  <si>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</si>
  <si>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</si>
  <si>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</si>
  <si>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</si>
  <si>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</si>
  <si>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</si>
  <si>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</si>
  <si>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</si>
  <si>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</si>
  <si>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</si>
  <si>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</si>
  <si>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</si>
  <si>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</si>
  <si>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</si>
  <si>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</si>
  <si>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</si>
  <si>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</si>
  <si>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</si>
  <si>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</si>
  <si>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</si>
  <si>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</si>
  <si>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</si>
  <si>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</si>
  <si>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</si>
  <si>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</si>
  <si>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</si>
  <si>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</si>
  <si>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</si>
  <si>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</si>
  <si>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</si>
  <si>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</si>
  <si>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</si>
  <si>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</si>
  <si>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</si>
  <si>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</si>
  <si>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</si>
  <si>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</si>
  <si>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</si>
  <si>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</si>
  <si>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</si>
  <si>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</si>
  <si>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</si>
  <si>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</si>
  <si>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</si>
  <si>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</si>
  <si>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</si>
  <si>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</si>
  <si>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</si>
  <si>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</si>
  <si>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</si>
  <si>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</si>
  <si>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</si>
  <si>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</si>
  <si>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</si>
  <si>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</si>
  <si>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</si>
  <si>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</si>
  <si>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</si>
  <si>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</si>
  <si>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</si>
  <si>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</si>
  <si>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</si>
  <si>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</si>
  <si>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</si>
  <si>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</si>
  <si>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</si>
  <si>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</si>
  <si>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</si>
  <si>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</si>
  <si>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</si>
  <si>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</si>
  <si>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</si>
  <si>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</si>
  <si>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</si>
  <si>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</si>
  <si>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</si>
  <si>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</si>
  <si>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</si>
  <si>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</si>
  <si>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</si>
  <si>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</si>
  <si>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</si>
  <si>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</si>
  <si>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</si>
  <si>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</si>
  <si>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</si>
  <si>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</si>
  <si>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</si>
  <si>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</si>
  <si>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</si>
  <si>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</si>
  <si>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</si>
  <si>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</si>
  <si>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</si>
  <si>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</si>
  <si>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</si>
  <si>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</si>
  <si>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</si>
  <si>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</si>
  <si>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</si>
  <si>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</si>
  <si>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</si>
  <si>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</si>
  <si>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</si>
  <si>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</si>
  <si>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</si>
  <si>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</si>
  <si>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</si>
  <si>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</si>
  <si>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</si>
  <si>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</si>
  <si>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</si>
  <si>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</si>
  <si>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</si>
  <si>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</si>
  <si>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</si>
  <si>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</si>
  <si>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</si>
  <si>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</si>
  <si>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</si>
  <si>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</si>
  <si>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</si>
  <si>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</si>
  <si>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</si>
  <si>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</si>
  <si>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</si>
  <si>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</si>
  <si>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</si>
  <si>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</si>
  <si>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</si>
  <si>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</si>
  <si>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</si>
  <si>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</si>
  <si>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</si>
  <si>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</si>
  <si>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</si>
  <si>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</si>
  <si>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</si>
  <si>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</si>
  <si>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</si>
  <si>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</si>
  <si>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</si>
  <si>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</si>
  <si>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</si>
  <si>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</si>
  <si>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</si>
  <si>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</si>
  <si>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</si>
  <si>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</si>
  <si>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</si>
  <si>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</si>
  <si>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</si>
  <si>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</si>
  <si>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</si>
  <si>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</si>
  <si>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</si>
  <si>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</si>
  <si>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</si>
  <si>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</si>
  <si>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</si>
  <si>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</si>
  <si>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</si>
  <si>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</si>
  <si>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</si>
  <si>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</si>
  <si>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</si>
  <si>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</si>
  <si>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</si>
  <si>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</si>
  <si>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</si>
  <si>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</si>
  <si>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</si>
  <si>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</si>
  <si>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</si>
  <si>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</si>
  <si>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</si>
  <si>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</si>
  <si>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</si>
  <si>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</si>
  <si>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</si>
  <si>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</si>
  <si>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</si>
  <si>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</si>
  <si>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</si>
  <si>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</si>
  <si>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</si>
  <si>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</si>
  <si>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</si>
  <si>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</si>
  <si>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</si>
  <si>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</si>
  <si>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</si>
  <si>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</si>
  <si>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</si>
  <si>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</si>
  <si>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</si>
  <si>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</si>
  <si>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</si>
  <si>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</si>
  <si>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</si>
  <si>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</si>
  <si>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</si>
  <si>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</si>
  <si>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</si>
  <si>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</si>
  <si>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</si>
  <si>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</si>
  <si>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</si>
  <si>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</si>
  <si>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</si>
  <si>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</si>
  <si>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</si>
  <si>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</si>
  <si>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</si>
  <si>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</si>
  <si>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</si>
  <si>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</si>
  <si>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</si>
  <si>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</si>
  <si>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</si>
  <si>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</si>
  <si>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</si>
  <si>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</si>
  <si>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</si>
  <si>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</si>
  <si>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</si>
  <si>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</si>
  <si>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</si>
  <si>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</si>
  <si>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</si>
  <si>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</si>
  <si>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</si>
  <si>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</si>
  <si>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</si>
  <si>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</si>
  <si>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</si>
  <si>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</si>
  <si>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</si>
  <si>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</si>
  <si>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</si>
  <si>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</si>
  <si>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</si>
  <si>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</si>
  <si>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</si>
  <si>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</si>
  <si>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</si>
  <si>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</si>
  <si>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</si>
  <si>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</si>
  <si>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</si>
  <si>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</si>
  <si>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</si>
  <si>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</si>
  <si>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</si>
  <si>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</si>
  <si>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</si>
  <si>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</si>
  <si>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</si>
  <si>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</si>
  <si>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</si>
  <si>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</si>
  <si>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</si>
  <si>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</si>
  <si>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</si>
  <si>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</si>
  <si>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</si>
  <si>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</si>
  <si>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</si>
  <si>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</si>
  <si>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</si>
  <si>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</si>
  <si>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</si>
  <si>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</si>
  <si>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</si>
  <si>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</si>
  <si>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</si>
  <si>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</si>
  <si>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</si>
  <si>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</si>
  <si>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</si>
  <si>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</si>
  <si>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</si>
  <si>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</si>
  <si>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</si>
  <si>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</si>
  <si>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</si>
  <si>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</si>
  <si>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</si>
  <si>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</si>
  <si>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</si>
  <si>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</si>
  <si>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</si>
  <si>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</si>
  <si>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</si>
  <si>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</si>
  <si>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</si>
  <si>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</si>
  <si>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</si>
  <si>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</si>
  <si>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</si>
  <si>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</si>
  <si>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</si>
  <si>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</si>
  <si>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</si>
  <si>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</si>
  <si>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</si>
  <si>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</si>
  <si>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</si>
  <si>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</si>
  <si>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</si>
  <si>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</si>
  <si>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</si>
  <si>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</si>
  <si>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</si>
  <si>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</si>
  <si>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</si>
  <si>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</si>
  <si>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</si>
  <si>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</si>
  <si>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</si>
  <si>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</si>
  <si>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</si>
  <si>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</si>
  <si>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</si>
  <si>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</si>
  <si>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</si>
  <si>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</si>
  <si>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</si>
  <si>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</si>
  <si>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</si>
  <si>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</si>
  <si>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</si>
  <si>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</si>
  <si>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</si>
  <si>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</si>
  <si>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</si>
  <si>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</si>
  <si>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</si>
  <si>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</si>
  <si>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</si>
  <si>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</si>
  <si>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</si>
  <si>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</si>
  <si>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</si>
  <si>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</si>
  <si>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</si>
  <si>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</si>
  <si>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</si>
  <si>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</si>
  <si>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</si>
  <si>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</si>
  <si>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</si>
  <si>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</si>
  <si>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</si>
  <si>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</si>
  <si>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</si>
  <si>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</si>
  <si>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</si>
  <si>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</si>
  <si>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</si>
  <si>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</si>
  <si>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</si>
  <si>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</si>
  <si>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</si>
  <si>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</si>
  <si>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</si>
  <si>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</si>
  <si>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</si>
  <si>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</si>
  <si>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</si>
  <si>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</si>
  <si>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</si>
  <si>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</si>
  <si>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</si>
  <si>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</si>
  <si>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</si>
  <si>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</si>
  <si>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</si>
  <si>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</si>
  <si>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</si>
  <si>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</si>
  <si>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</si>
  <si>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</si>
  <si>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</si>
  <si>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</si>
  <si>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</si>
  <si>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</si>
  <si>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</si>
  <si>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</si>
  <si>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</si>
  <si>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</si>
  <si>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</si>
  <si>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</si>
  <si>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</si>
  <si>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</si>
  <si>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</si>
  <si>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</si>
  <si>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</si>
  <si>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</si>
  <si>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</si>
  <si>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</si>
  <si>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</si>
  <si>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</si>
  <si>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</si>
  <si>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</si>
  <si>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</si>
  <si>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</si>
  <si>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</si>
  <si>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</si>
  <si>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</si>
  <si>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</si>
  <si>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</si>
  <si>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</si>
  <si>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</si>
  <si>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</si>
  <si>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</si>
  <si>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</si>
  <si>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</si>
  <si>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</si>
  <si>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</si>
  <si>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</si>
  <si>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</si>
  <si>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</si>
  <si>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</si>
  <si>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</si>
  <si>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</si>
  <si>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</si>
  <si>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</si>
  <si>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</si>
  <si>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</si>
  <si>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</si>
  <si>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</si>
  <si>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</si>
  <si>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</si>
  <si>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</si>
  <si>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</si>
  <si>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</si>
  <si>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</si>
  <si>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</si>
  <si>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</si>
  <si>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</si>
  <si>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</si>
  <si>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</si>
  <si>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</si>
  <si>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</si>
  <si>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</si>
  <si>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</si>
  <si>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</si>
  <si>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</si>
  <si>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</si>
  <si>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</si>
  <si>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</si>
  <si>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</si>
  <si>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</si>
  <si>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</si>
  <si>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</si>
  <si>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</si>
  <si>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</si>
  <si>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</si>
  <si>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</si>
  <si>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</si>
  <si>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</si>
  <si>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</si>
  <si>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</si>
  <si>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</si>
  <si>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</si>
  <si>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</si>
  <si>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</si>
  <si>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</si>
  <si>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</si>
  <si>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</si>
  <si>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</si>
  <si>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</si>
  <si>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</si>
  <si>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</si>
  <si>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</si>
  <si>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</si>
  <si>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</si>
  <si>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</si>
  <si>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</si>
  <si>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</si>
  <si>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</si>
  <si>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</si>
  <si>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</si>
  <si>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</si>
  <si>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</si>
  <si>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</si>
  <si>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</si>
  <si>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</si>
  <si>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</si>
  <si>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</si>
  <si>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</si>
  <si>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</si>
  <si>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</si>
  <si>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</si>
  <si>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</si>
  <si>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</si>
  <si>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</si>
  <si>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</si>
  <si>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</si>
  <si>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</si>
  <si>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</si>
  <si>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</si>
  <si>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</si>
  <si>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</si>
  <si>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</si>
  <si>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</si>
  <si>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</si>
  <si>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</si>
  <si>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</si>
  <si>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</si>
  <si>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</si>
  <si>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</si>
  <si>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</si>
  <si>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</si>
  <si>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</si>
  <si>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</si>
  <si>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</si>
  <si>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</si>
  <si>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</si>
  <si>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</si>
  <si>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</si>
  <si>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</si>
  <si>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</si>
  <si>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</si>
  <si>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</si>
  <si>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</si>
  <si>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</si>
  <si>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</si>
  <si>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</si>
  <si>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</si>
  <si>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</si>
  <si>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</si>
  <si>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</si>
  <si>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</si>
  <si>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</si>
  <si>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</si>
  <si>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</si>
  <si>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</si>
  <si>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</si>
  <si>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</si>
  <si>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</si>
  <si>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</si>
  <si>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</si>
  <si>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</si>
  <si>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</si>
  <si>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</si>
  <si>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</si>
  <si>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</si>
  <si>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</si>
  <si>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</si>
  <si>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</si>
  <si>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</si>
  <si>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</si>
  <si>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</si>
  <si>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</si>
  <si>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</si>
  <si>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</si>
  <si>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</si>
  <si>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</si>
  <si>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</si>
  <si>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</si>
  <si>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</si>
  <si>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</si>
  <si>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</si>
  <si>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</si>
  <si>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</si>
  <si>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</si>
  <si>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</si>
  <si>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</si>
  <si>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</si>
  <si>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</si>
  <si>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</si>
  <si>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</si>
  <si>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</si>
  <si>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</si>
  <si>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</si>
  <si>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</si>
  <si>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</si>
  <si>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</si>
  <si>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</si>
  <si>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</si>
  <si>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</si>
  <si>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</si>
  <si>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</si>
  <si>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</si>
  <si>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</si>
  <si>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</si>
  <si>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</si>
  <si>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</si>
  <si>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</si>
  <si>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</si>
  <si>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</si>
  <si>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</si>
  <si>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</si>
  <si>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</si>
  <si>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</si>
  <si>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</si>
  <si>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</si>
  <si>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</si>
  <si>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</si>
  <si>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</si>
  <si>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</si>
  <si>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</si>
  <si>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</si>
  <si>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</si>
  <si>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</si>
  <si>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</si>
  <si>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</si>
  <si>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</si>
  <si>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</si>
  <si>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</si>
  <si>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</si>
  <si>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</si>
  <si>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</si>
  <si>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</si>
  <si>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</si>
  <si>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</si>
  <si>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</si>
  <si>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</si>
  <si>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</si>
  <si>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</si>
  <si>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</si>
  <si>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</si>
  <si>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</si>
  <si>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</si>
  <si>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</si>
  <si>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</si>
  <si>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</si>
  <si>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</si>
  <si>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</si>
  <si>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</si>
  <si>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</si>
  <si>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</si>
  <si>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</si>
  <si>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</si>
  <si>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</si>
  <si>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</si>
  <si>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</si>
  <si>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</si>
  <si>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</si>
  <si>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</si>
  <si>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</si>
  <si>
    <t>攻击时有概率触发御剑一击造成150%伤害+1000点固定伤害。</t>
    <phoneticPr fontId="35" type="noConversion"/>
  </si>
  <si>
    <t>攻击时有概率触发御剑一击造成100%伤害+500点固定伤害。</t>
    <phoneticPr fontId="35" type="noConversion"/>
  </si>
  <si>
    <t>攻击时有概率触发御剑一击造成200%伤害+1500点固定伤害。</t>
    <phoneticPr fontId="35" type="noConversion"/>
  </si>
  <si>
    <t>释放技时有一定概率触发御剑一击,造成100%伤害+500点固定伤害。</t>
    <phoneticPr fontId="35" type="noConversion"/>
  </si>
  <si>
    <t>释放技时有一定概率触发御剑一击造成150%伤害+1000点固定伤害。</t>
    <phoneticPr fontId="35" type="noConversion"/>
  </si>
  <si>
    <t>释放技时有一定概率触发御剑一击,造成200%伤害+1500点固定伤害。</t>
    <phoneticPr fontId="35" type="noConversion"/>
  </si>
  <si>
    <t>金币</t>
    <phoneticPr fontId="35" type="noConversion"/>
  </si>
  <si>
    <t>500万</t>
    <phoneticPr fontId="35" type="noConversion"/>
  </si>
  <si>
    <t>1000万</t>
    <phoneticPr fontId="35" type="noConversion"/>
  </si>
  <si>
    <t>2000万</t>
    <phoneticPr fontId="35" type="noConversion"/>
  </si>
  <si>
    <t>3000万</t>
    <phoneticPr fontId="35" type="noConversion"/>
  </si>
  <si>
    <t>5000万</t>
    <phoneticPr fontId="35" type="noConversion"/>
  </si>
  <si>
    <t>等级</t>
    <phoneticPr fontId="35" type="noConversion"/>
  </si>
  <si>
    <t>递增值</t>
    <phoneticPr fontId="35" type="noConversion"/>
  </si>
  <si>
    <t>属性</t>
    <phoneticPr fontId="35" type="noConversion"/>
  </si>
  <si>
    <t>攻击</t>
    <phoneticPr fontId="35" type="noConversion"/>
  </si>
  <si>
    <t>防御</t>
    <phoneticPr fontId="35" type="noConversion"/>
  </si>
  <si>
    <t>血量</t>
    <phoneticPr fontId="35" type="noConversion"/>
  </si>
  <si>
    <t>总值</t>
    <phoneticPr fontId="35" type="noConversion"/>
  </si>
  <si>
    <t>值</t>
    <phoneticPr fontId="35" type="noConversion"/>
  </si>
  <si>
    <t>魔法</t>
    <phoneticPr fontId="35" type="noConversion"/>
  </si>
  <si>
    <t>消耗</t>
    <phoneticPr fontId="35" type="noConversion"/>
  </si>
  <si>
    <t>预计每天获得材料</t>
    <phoneticPr fontId="35" type="noConversion"/>
  </si>
  <si>
    <t>道具转换材料</t>
    <phoneticPr fontId="35" type="noConversion"/>
  </si>
  <si>
    <t>直接材料</t>
    <phoneticPr fontId="35" type="noConversion"/>
  </si>
  <si>
    <t>总消耗</t>
    <phoneticPr fontId="35" type="noConversion"/>
  </si>
  <si>
    <t>天数</t>
    <phoneticPr fontId="35" type="noConversion"/>
  </si>
  <si>
    <t>金币(单位:万)</t>
    <phoneticPr fontId="35" type="noConversion"/>
  </si>
  <si>
    <t>力度伤害</t>
    <phoneticPr fontId="35" type="noConversion"/>
  </si>
  <si>
    <t>300万</t>
    <phoneticPr fontId="35" type="noConversion"/>
  </si>
  <si>
    <t>100203;150</t>
  </si>
  <si>
    <t>生命</t>
    <phoneticPr fontId="35" type="noConversion"/>
  </si>
  <si>
    <t>101003;4600</t>
  </si>
  <si>
    <t>100603;15</t>
    <phoneticPr fontId="35" type="noConversion"/>
  </si>
  <si>
    <t>物理防御+15</t>
  </si>
  <si>
    <t>100803;21</t>
    <phoneticPr fontId="35" type="noConversion"/>
  </si>
  <si>
    <t>魔法防御+21</t>
    <phoneticPr fontId="35" type="noConversion"/>
  </si>
  <si>
    <t>1号</t>
    <phoneticPr fontId="35" type="noConversion"/>
  </si>
  <si>
    <t>开启栏位</t>
    <phoneticPr fontId="35" type="noConversion"/>
  </si>
  <si>
    <t>Attack +10; Physical Defense +10</t>
  </si>
  <si>
    <t>Attack +25; Physical Defense +25</t>
  </si>
  <si>
    <t>Attack +40; Physical Defense +40</t>
  </si>
  <si>
    <t>Attack +60; Physical Defense +60</t>
  </si>
  <si>
    <t>Attack +90; Physical Defense +90</t>
  </si>
  <si>
    <t>Attack +120; Physical Defense +120</t>
  </si>
  <si>
    <t>Attack +150; Physical Defense +150</t>
  </si>
  <si>
    <t>Attack +180; Physical Defense +180</t>
  </si>
  <si>
    <t>Attack +210; Physical Defense +210</t>
  </si>
  <si>
    <t>Attack +240; Physical Defense +240</t>
  </si>
  <si>
    <t>魔能之尘</t>
  </si>
  <si>
    <t>魔能之钥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</si>
</sst>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847254860072634"/>
        <bgColor indexed="64"/>
      </patternFill>
    </fill>
  </fills>
  <borders count="10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thin">
        <color theme="4" tint="0.3984496597186193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hair">
        <color theme="1" tint="0.499984740745262"/>
      </bottom>
      <diagonal/>
    </border>
  </borders>
  <cellStyleXfs count="2">
    <xf numFmtId="0" fontId="0" fillId="0" borderId="0"/>
    <xf numFmtId="0" fontId="29" fillId="0" borderId="0"/>
  </cellStyleXfs>
  <cellXfs count="123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6">
          <cell r="C856">
            <v>10302002</v>
          </cell>
          <cell r="S856">
            <v>6202003</v>
          </cell>
        </row>
        <row r="857">
          <cell r="C857">
            <v>10302003</v>
          </cell>
          <cell r="S857">
            <v>6203003</v>
          </cell>
        </row>
        <row r="858">
          <cell r="C858">
            <v>10302004</v>
          </cell>
          <cell r="S858">
            <v>6204004</v>
          </cell>
        </row>
        <row r="859">
          <cell r="C859">
            <v>10302005</v>
          </cell>
          <cell r="S859">
            <v>6205004</v>
          </cell>
        </row>
        <row r="860">
          <cell r="C860">
            <v>10302006</v>
          </cell>
          <cell r="S860">
            <v>6206003</v>
          </cell>
        </row>
        <row r="861">
          <cell r="C861">
            <v>10303001</v>
          </cell>
          <cell r="S861">
            <v>6301003</v>
          </cell>
        </row>
        <row r="862">
          <cell r="C862">
            <v>10303002</v>
          </cell>
          <cell r="S862">
            <v>6302003</v>
          </cell>
        </row>
        <row r="863">
          <cell r="C863">
            <v>10303003</v>
          </cell>
          <cell r="S863">
            <v>6303003</v>
          </cell>
        </row>
        <row r="864">
          <cell r="C864">
            <v>10303004</v>
          </cell>
          <cell r="S864">
            <v>6304004</v>
          </cell>
        </row>
        <row r="865">
          <cell r="C865">
            <v>10303005</v>
          </cell>
          <cell r="S865">
            <v>6305004</v>
          </cell>
        </row>
        <row r="866">
          <cell r="C866">
            <v>10303006</v>
          </cell>
          <cell r="S866">
            <v>6306003</v>
          </cell>
        </row>
        <row r="867">
          <cell r="C867">
            <v>11200000</v>
          </cell>
          <cell r="S867">
            <v>500</v>
          </cell>
        </row>
        <row r="868">
          <cell r="C868">
            <v>11200001</v>
          </cell>
          <cell r="S868">
            <v>500</v>
          </cell>
        </row>
        <row r="869">
          <cell r="C869">
            <v>11200002</v>
          </cell>
          <cell r="S869">
            <v>500</v>
          </cell>
        </row>
        <row r="870">
          <cell r="C870">
            <v>11200003</v>
          </cell>
          <cell r="S870">
            <v>500</v>
          </cell>
        </row>
        <row r="871">
          <cell r="C871">
            <v>11200010</v>
          </cell>
          <cell r="S871">
            <v>500</v>
          </cell>
        </row>
        <row r="872">
          <cell r="C872">
            <v>11300001</v>
          </cell>
          <cell r="S872" t="str">
            <v>1;3901</v>
          </cell>
        </row>
        <row r="873">
          <cell r="C873">
            <v>11300002</v>
          </cell>
          <cell r="S873" t="str">
            <v>1;3906</v>
          </cell>
        </row>
        <row r="874">
          <cell r="C874">
            <v>11300003</v>
          </cell>
          <cell r="S874" t="str">
            <v>1;3907</v>
          </cell>
        </row>
        <row r="875">
          <cell r="C875">
            <v>11300004</v>
          </cell>
          <cell r="S875" t="str">
            <v>1;3908</v>
          </cell>
        </row>
        <row r="876">
          <cell r="C876">
            <v>11300005</v>
          </cell>
          <cell r="S876" t="str">
            <v>1;3909</v>
          </cell>
        </row>
        <row r="877">
          <cell r="C877">
            <v>11300006</v>
          </cell>
          <cell r="S877" t="str">
            <v>1;3910</v>
          </cell>
        </row>
        <row r="878">
          <cell r="C878">
            <v>11300007</v>
          </cell>
          <cell r="S878" t="str">
            <v>2;3902</v>
          </cell>
        </row>
        <row r="879">
          <cell r="C879">
            <v>11300008</v>
          </cell>
          <cell r="S879" t="str">
            <v>2;3903</v>
          </cell>
        </row>
        <row r="880">
          <cell r="C880">
            <v>11300009</v>
          </cell>
          <cell r="S880" t="str">
            <v>2;3904</v>
          </cell>
        </row>
        <row r="881">
          <cell r="C881">
            <v>11300101</v>
          </cell>
          <cell r="S881" t="str">
            <v>1;3101</v>
          </cell>
        </row>
        <row r="882">
          <cell r="C882">
            <v>11300102</v>
          </cell>
          <cell r="S882" t="str">
            <v>1;3102</v>
          </cell>
        </row>
        <row r="883">
          <cell r="C883">
            <v>11300103</v>
          </cell>
          <cell r="S883" t="str">
            <v>1;3103</v>
          </cell>
        </row>
        <row r="884">
          <cell r="C884">
            <v>11300104</v>
          </cell>
          <cell r="S884" t="str">
            <v>1;3104</v>
          </cell>
        </row>
        <row r="885">
          <cell r="C885">
            <v>11300105</v>
          </cell>
          <cell r="S885" t="str">
            <v>1;3105</v>
          </cell>
        </row>
        <row r="886">
          <cell r="C886">
            <v>11300201</v>
          </cell>
          <cell r="S886" t="str">
            <v>1;3201</v>
          </cell>
        </row>
        <row r="887">
          <cell r="C887">
            <v>11300202</v>
          </cell>
          <cell r="S887" t="str">
            <v>1;3202</v>
          </cell>
        </row>
        <row r="888">
          <cell r="C888">
            <v>11300203</v>
          </cell>
          <cell r="S888" t="str">
            <v>1;3203</v>
          </cell>
        </row>
        <row r="889">
          <cell r="C889">
            <v>11300204</v>
          </cell>
          <cell r="S889" t="str">
            <v>1;3204</v>
          </cell>
        </row>
        <row r="890">
          <cell r="C890">
            <v>11300205</v>
          </cell>
          <cell r="S890" t="str">
            <v>1;3205</v>
          </cell>
        </row>
        <row r="891">
          <cell r="C891">
            <v>11300301</v>
          </cell>
          <cell r="S891" t="str">
            <v>1;3301</v>
          </cell>
        </row>
        <row r="892">
          <cell r="C892">
            <v>11300302</v>
          </cell>
          <cell r="S892" t="str">
            <v>1;3302</v>
          </cell>
        </row>
        <row r="893">
          <cell r="C893">
            <v>11300303</v>
          </cell>
          <cell r="S893" t="str">
            <v>1;3303</v>
          </cell>
        </row>
        <row r="894">
          <cell r="C894">
            <v>11300304</v>
          </cell>
          <cell r="S894" t="str">
            <v>1;3304</v>
          </cell>
        </row>
        <row r="895">
          <cell r="C895">
            <v>11300305</v>
          </cell>
          <cell r="S895" t="str">
            <v>1;3305</v>
          </cell>
        </row>
        <row r="896">
          <cell r="C896">
            <v>11300401</v>
          </cell>
          <cell r="S896" t="str">
            <v>1;3401</v>
          </cell>
        </row>
        <row r="897">
          <cell r="C897">
            <v>11300402</v>
          </cell>
          <cell r="S897" t="str">
            <v>1;3402</v>
          </cell>
        </row>
        <row r="898">
          <cell r="C898">
            <v>11300403</v>
          </cell>
          <cell r="S898" t="str">
            <v>1;3403</v>
          </cell>
        </row>
        <row r="899">
          <cell r="C899">
            <v>11300404</v>
          </cell>
          <cell r="S899" t="str">
            <v>1;3404</v>
          </cell>
        </row>
        <row r="900">
          <cell r="C900">
            <v>11300405</v>
          </cell>
          <cell r="S900" t="str">
            <v>1;3405</v>
          </cell>
        </row>
        <row r="901">
          <cell r="C901">
            <v>11300501</v>
          </cell>
          <cell r="S901" t="str">
            <v>1;3501</v>
          </cell>
        </row>
        <row r="902">
          <cell r="C902">
            <v>11300502</v>
          </cell>
          <cell r="S902" t="str">
            <v>1;3502</v>
          </cell>
        </row>
        <row r="903">
          <cell r="C903">
            <v>11300503</v>
          </cell>
          <cell r="S903" t="str">
            <v>1;3503</v>
          </cell>
        </row>
        <row r="904">
          <cell r="C904">
            <v>11300504</v>
          </cell>
          <cell r="S904" t="str">
            <v>1;3504</v>
          </cell>
        </row>
        <row r="905">
          <cell r="C905">
            <v>11300505</v>
          </cell>
          <cell r="S905" t="str">
            <v>1;3505</v>
          </cell>
        </row>
        <row r="906">
          <cell r="C906">
            <v>11300601</v>
          </cell>
          <cell r="S906" t="str">
            <v>1;3601</v>
          </cell>
        </row>
        <row r="907">
          <cell r="C907">
            <v>11300602</v>
          </cell>
          <cell r="S907" t="str">
            <v>1;3602</v>
          </cell>
        </row>
        <row r="908">
          <cell r="C908">
            <v>11300603</v>
          </cell>
          <cell r="S908" t="str">
            <v>1;3603</v>
          </cell>
        </row>
        <row r="909">
          <cell r="C909">
            <v>11300604</v>
          </cell>
          <cell r="S909" t="str">
            <v>1;3604</v>
          </cell>
        </row>
        <row r="910">
          <cell r="C910">
            <v>11300605</v>
          </cell>
          <cell r="S910" t="str">
            <v>1;3605</v>
          </cell>
        </row>
        <row r="911">
          <cell r="C911">
            <v>11400101</v>
          </cell>
          <cell r="S911" t="str">
            <v>1,30@1;202103,0.01,0.03</v>
          </cell>
        </row>
        <row r="912">
          <cell r="C912">
            <v>11400102</v>
          </cell>
          <cell r="S912" t="str">
            <v>1,30@1;100203,100,200</v>
          </cell>
        </row>
        <row r="913">
          <cell r="C913">
            <v>11400103</v>
          </cell>
          <cell r="S913" t="str">
            <v>1,30@2;62000001</v>
          </cell>
        </row>
        <row r="914">
          <cell r="C914">
            <v>11500101</v>
          </cell>
        </row>
        <row r="915">
          <cell r="C915">
            <v>11500102</v>
          </cell>
        </row>
        <row r="916">
          <cell r="C916">
            <v>11500103</v>
          </cell>
        </row>
        <row r="917">
          <cell r="C917">
            <v>11500201</v>
          </cell>
        </row>
        <row r="918">
          <cell r="C918">
            <v>11500202</v>
          </cell>
        </row>
        <row r="919">
          <cell r="C919">
            <v>11500203</v>
          </cell>
        </row>
        <row r="920">
          <cell r="C920">
            <v>11500301</v>
          </cell>
        </row>
        <row r="921">
          <cell r="C921">
            <v>11500302</v>
          </cell>
        </row>
        <row r="922">
          <cell r="C922">
            <v>11500303</v>
          </cell>
        </row>
        <row r="923">
          <cell r="C923">
            <v>11500401</v>
          </cell>
        </row>
        <row r="924">
          <cell r="C924">
            <v>11500402</v>
          </cell>
        </row>
        <row r="925">
          <cell r="C925">
            <v>11500403</v>
          </cell>
        </row>
        <row r="926">
          <cell r="C926">
            <v>11500501</v>
          </cell>
        </row>
        <row r="927">
          <cell r="C927">
            <v>11500502</v>
          </cell>
        </row>
        <row r="928">
          <cell r="C928">
            <v>11500503</v>
          </cell>
        </row>
        <row r="929">
          <cell r="C929">
            <v>11600101</v>
          </cell>
        </row>
        <row r="930">
          <cell r="C930">
            <v>11600102</v>
          </cell>
        </row>
        <row r="931">
          <cell r="C931">
            <v>11600103</v>
          </cell>
        </row>
        <row r="932">
          <cell r="C932">
            <v>11600201</v>
          </cell>
        </row>
        <row r="933">
          <cell r="C933">
            <v>11600202</v>
          </cell>
        </row>
        <row r="934">
          <cell r="C934">
            <v>11600203</v>
          </cell>
        </row>
        <row r="935">
          <cell r="C935">
            <v>11600301</v>
          </cell>
        </row>
        <row r="936">
          <cell r="C936">
            <v>11600302</v>
          </cell>
        </row>
        <row r="937">
          <cell r="C937">
            <v>11600303</v>
          </cell>
        </row>
        <row r="938">
          <cell r="C938">
            <v>11600401</v>
          </cell>
        </row>
        <row r="939">
          <cell r="C939">
            <v>11600402</v>
          </cell>
        </row>
        <row r="940">
          <cell r="C940">
            <v>11600403</v>
          </cell>
        </row>
        <row r="941">
          <cell r="C941">
            <v>11600501</v>
          </cell>
        </row>
        <row r="942">
          <cell r="C942">
            <v>11600502</v>
          </cell>
        </row>
        <row r="943">
          <cell r="C943">
            <v>11600503</v>
          </cell>
        </row>
        <row r="944">
          <cell r="C944">
            <v>11600601</v>
          </cell>
        </row>
        <row r="945">
          <cell r="C945">
            <v>11600602</v>
          </cell>
        </row>
        <row r="946">
          <cell r="C946">
            <v>11600603</v>
          </cell>
        </row>
        <row r="947">
          <cell r="C947">
            <v>11600701</v>
          </cell>
        </row>
        <row r="948">
          <cell r="C948">
            <v>11600702</v>
          </cell>
        </row>
        <row r="949">
          <cell r="C949">
            <v>11600703</v>
          </cell>
        </row>
        <row r="950">
          <cell r="C950">
            <v>11600801</v>
          </cell>
        </row>
        <row r="951">
          <cell r="C951">
            <v>11600802</v>
          </cell>
        </row>
        <row r="952">
          <cell r="C952">
            <v>11600803</v>
          </cell>
        </row>
        <row r="953">
          <cell r="C953">
            <v>11600901</v>
          </cell>
        </row>
        <row r="954">
          <cell r="C954">
            <v>11600902</v>
          </cell>
        </row>
        <row r="955">
          <cell r="C955">
            <v>11600903</v>
          </cell>
        </row>
        <row r="956">
          <cell r="C956">
            <v>11610101</v>
          </cell>
        </row>
        <row r="957">
          <cell r="C957">
            <v>11610102</v>
          </cell>
        </row>
        <row r="958">
          <cell r="C958">
            <v>11610103</v>
          </cell>
        </row>
        <row r="959">
          <cell r="C959">
            <v>11610201</v>
          </cell>
        </row>
        <row r="960">
          <cell r="C960">
            <v>11610202</v>
          </cell>
        </row>
        <row r="961">
          <cell r="C961">
            <v>11610203</v>
          </cell>
        </row>
        <row r="962">
          <cell r="C962">
            <v>11610301</v>
          </cell>
        </row>
        <row r="963">
          <cell r="C963">
            <v>11610302</v>
          </cell>
        </row>
        <row r="964">
          <cell r="C964">
            <v>11610303</v>
          </cell>
        </row>
        <row r="965">
          <cell r="C965">
            <v>11610401</v>
          </cell>
        </row>
        <row r="966">
          <cell r="C966">
            <v>11610402</v>
          </cell>
        </row>
        <row r="967">
          <cell r="C967">
            <v>11610403</v>
          </cell>
        </row>
        <row r="968">
          <cell r="C968">
            <v>11610501</v>
          </cell>
        </row>
        <row r="969">
          <cell r="C969">
            <v>11610502</v>
          </cell>
        </row>
        <row r="970">
          <cell r="C970">
            <v>11610503</v>
          </cell>
        </row>
        <row r="971">
          <cell r="C971">
            <v>11610601</v>
          </cell>
        </row>
        <row r="972">
          <cell r="C972">
            <v>11610602</v>
          </cell>
        </row>
        <row r="973">
          <cell r="C973">
            <v>11610603</v>
          </cell>
        </row>
        <row r="974">
          <cell r="C974">
            <v>11610701</v>
          </cell>
        </row>
        <row r="975">
          <cell r="C975">
            <v>11610702</v>
          </cell>
        </row>
        <row r="976">
          <cell r="C976">
            <v>11610703</v>
          </cell>
        </row>
        <row r="977">
          <cell r="C977">
            <v>13001001</v>
          </cell>
          <cell r="S977">
            <v>65001001</v>
          </cell>
        </row>
        <row r="978">
          <cell r="C978">
            <v>13001002</v>
          </cell>
          <cell r="S978">
            <v>65001002</v>
          </cell>
        </row>
        <row r="979">
          <cell r="C979">
            <v>13001003</v>
          </cell>
          <cell r="S979">
            <v>65001003</v>
          </cell>
        </row>
        <row r="980">
          <cell r="C980">
            <v>13001004</v>
          </cell>
          <cell r="S980">
            <v>65001004</v>
          </cell>
        </row>
        <row r="981">
          <cell r="C981">
            <v>13001005</v>
          </cell>
          <cell r="S981">
            <v>65001005</v>
          </cell>
        </row>
        <row r="982">
          <cell r="C982">
            <v>13001006</v>
          </cell>
          <cell r="S982">
            <v>65001006</v>
          </cell>
        </row>
        <row r="983">
          <cell r="C983">
            <v>13001101</v>
          </cell>
          <cell r="S983">
            <v>65001101</v>
          </cell>
        </row>
        <row r="984">
          <cell r="C984">
            <v>13001102</v>
          </cell>
          <cell r="S984">
            <v>65001102</v>
          </cell>
        </row>
        <row r="985">
          <cell r="C985">
            <v>13001103</v>
          </cell>
          <cell r="S985">
            <v>65001103</v>
          </cell>
        </row>
        <row r="986">
          <cell r="C986">
            <v>13001104</v>
          </cell>
          <cell r="S986">
            <v>65001104</v>
          </cell>
        </row>
        <row r="987">
          <cell r="C987">
            <v>13001105</v>
          </cell>
          <cell r="S987">
            <v>65001105</v>
          </cell>
        </row>
        <row r="988">
          <cell r="C988">
            <v>13002001</v>
          </cell>
          <cell r="S988">
            <v>65002001</v>
          </cell>
        </row>
        <row r="989">
          <cell r="C989">
            <v>13002002</v>
          </cell>
          <cell r="S989">
            <v>65002002</v>
          </cell>
        </row>
        <row r="990">
          <cell r="C990">
            <v>13002003</v>
          </cell>
          <cell r="S990">
            <v>65002003</v>
          </cell>
        </row>
        <row r="991">
          <cell r="C991">
            <v>13002004</v>
          </cell>
          <cell r="S991">
            <v>65002004</v>
          </cell>
        </row>
        <row r="992">
          <cell r="C992">
            <v>13002005</v>
          </cell>
          <cell r="S992">
            <v>65002005</v>
          </cell>
        </row>
        <row r="993">
          <cell r="C993">
            <v>13002006</v>
          </cell>
          <cell r="S993">
            <v>65002006</v>
          </cell>
        </row>
        <row r="994">
          <cell r="C994">
            <v>13002101</v>
          </cell>
          <cell r="S994">
            <v>65002101</v>
          </cell>
        </row>
        <row r="995">
          <cell r="C995">
            <v>13002102</v>
          </cell>
          <cell r="S995">
            <v>65002102</v>
          </cell>
        </row>
        <row r="996">
          <cell r="C996">
            <v>13002103</v>
          </cell>
          <cell r="S996">
            <v>65002103</v>
          </cell>
        </row>
        <row r="997">
          <cell r="C997">
            <v>13002104</v>
          </cell>
          <cell r="S997">
            <v>65002104</v>
          </cell>
        </row>
        <row r="998">
          <cell r="C998">
            <v>13002105</v>
          </cell>
          <cell r="S998">
            <v>65002105</v>
          </cell>
        </row>
        <row r="999">
          <cell r="C999">
            <v>13003001</v>
          </cell>
          <cell r="S999">
            <v>65003001</v>
          </cell>
        </row>
        <row r="1000">
          <cell r="C1000">
            <v>13003002</v>
          </cell>
          <cell r="S1000">
            <v>65003002</v>
          </cell>
        </row>
        <row r="1001">
          <cell r="C1001">
            <v>13003003</v>
          </cell>
          <cell r="S1001">
            <v>65003003</v>
          </cell>
        </row>
        <row r="1002">
          <cell r="C1002">
            <v>13003004</v>
          </cell>
          <cell r="S1002">
            <v>65003004</v>
          </cell>
        </row>
        <row r="1003">
          <cell r="C1003">
            <v>13003005</v>
          </cell>
          <cell r="S1003">
            <v>65003005</v>
          </cell>
        </row>
        <row r="1004">
          <cell r="C1004">
            <v>13003006</v>
          </cell>
          <cell r="S1004">
            <v>65003006</v>
          </cell>
        </row>
        <row r="1005">
          <cell r="C1005">
            <v>13003101</v>
          </cell>
          <cell r="S1005">
            <v>65003101</v>
          </cell>
        </row>
        <row r="1006">
          <cell r="C1006">
            <v>13003102</v>
          </cell>
          <cell r="S1006">
            <v>65003102</v>
          </cell>
        </row>
        <row r="1007">
          <cell r="C1007">
            <v>13003103</v>
          </cell>
          <cell r="S1007">
            <v>65003103</v>
          </cell>
        </row>
        <row r="1008">
          <cell r="C1008">
            <v>13003104</v>
          </cell>
          <cell r="S1008">
            <v>65003104</v>
          </cell>
        </row>
        <row r="1009">
          <cell r="C1009">
            <v>13003105</v>
          </cell>
          <cell r="S1009">
            <v>65003105</v>
          </cell>
        </row>
        <row r="1010">
          <cell r="C1010">
            <v>13004001</v>
          </cell>
          <cell r="S1010">
            <v>65004001</v>
          </cell>
        </row>
        <row r="1011">
          <cell r="C1011">
            <v>13004002</v>
          </cell>
          <cell r="S1011">
            <v>65004002</v>
          </cell>
        </row>
        <row r="1012">
          <cell r="C1012">
            <v>13004003</v>
          </cell>
          <cell r="S1012">
            <v>65004003</v>
          </cell>
        </row>
        <row r="1013">
          <cell r="C1013">
            <v>13004004</v>
          </cell>
          <cell r="S1013">
            <v>65004004</v>
          </cell>
        </row>
        <row r="1014">
          <cell r="C1014">
            <v>13004005</v>
          </cell>
          <cell r="S1014">
            <v>65004005</v>
          </cell>
        </row>
        <row r="1015">
          <cell r="C1015">
            <v>13004006</v>
          </cell>
          <cell r="S1015">
            <v>65004006</v>
          </cell>
        </row>
        <row r="1016">
          <cell r="C1016">
            <v>13004101</v>
          </cell>
          <cell r="S1016">
            <v>65004101</v>
          </cell>
        </row>
        <row r="1017">
          <cell r="C1017">
            <v>13004102</v>
          </cell>
          <cell r="S1017">
            <v>65004102</v>
          </cell>
        </row>
        <row r="1018">
          <cell r="C1018">
            <v>13004103</v>
          </cell>
          <cell r="S1018">
            <v>65004103</v>
          </cell>
        </row>
        <row r="1019">
          <cell r="C1019">
            <v>13004104</v>
          </cell>
          <cell r="S1019">
            <v>65004104</v>
          </cell>
        </row>
        <row r="1020">
          <cell r="C1020">
            <v>13004105</v>
          </cell>
          <cell r="S1020">
            <v>65004105</v>
          </cell>
        </row>
        <row r="1021">
          <cell r="C1021">
            <v>13005001</v>
          </cell>
          <cell r="S1021">
            <v>65005001</v>
          </cell>
        </row>
        <row r="1022">
          <cell r="C1022">
            <v>13005002</v>
          </cell>
          <cell r="S1022">
            <v>65005002</v>
          </cell>
        </row>
        <row r="1023">
          <cell r="C1023">
            <v>13005003</v>
          </cell>
          <cell r="S1023">
            <v>65005003</v>
          </cell>
        </row>
        <row r="1024">
          <cell r="C1024">
            <v>13005004</v>
          </cell>
          <cell r="S1024">
            <v>65005004</v>
          </cell>
        </row>
        <row r="1025">
          <cell r="C1025">
            <v>13005005</v>
          </cell>
          <cell r="S1025">
            <v>65005005</v>
          </cell>
        </row>
        <row r="1026">
          <cell r="C1026">
            <v>13005006</v>
          </cell>
          <cell r="S1026">
            <v>65005006</v>
          </cell>
        </row>
        <row r="1027">
          <cell r="C1027">
            <v>13005101</v>
          </cell>
          <cell r="S1027">
            <v>65005101</v>
          </cell>
        </row>
        <row r="1028">
          <cell r="C1028">
            <v>13005102</v>
          </cell>
          <cell r="S1028">
            <v>65005102</v>
          </cell>
        </row>
        <row r="1029">
          <cell r="C1029">
            <v>13005103</v>
          </cell>
          <cell r="S1029">
            <v>65005103</v>
          </cell>
        </row>
        <row r="1030">
          <cell r="C1030">
            <v>13005104</v>
          </cell>
          <cell r="S1030">
            <v>65005104</v>
          </cell>
        </row>
        <row r="1031">
          <cell r="C1031">
            <v>13005105</v>
          </cell>
          <cell r="S1031">
            <v>65005105</v>
          </cell>
        </row>
        <row r="1032">
          <cell r="C1032">
            <v>13006001</v>
          </cell>
          <cell r="S1032">
            <v>65006001</v>
          </cell>
        </row>
        <row r="1033">
          <cell r="C1033">
            <v>13006002</v>
          </cell>
          <cell r="S1033">
            <v>65006002</v>
          </cell>
        </row>
        <row r="1034">
          <cell r="C1034">
            <v>13006003</v>
          </cell>
          <cell r="S1034">
            <v>65006003</v>
          </cell>
        </row>
        <row r="1035">
          <cell r="C1035">
            <v>13006004</v>
          </cell>
          <cell r="S1035">
            <v>65006004</v>
          </cell>
        </row>
        <row r="1036">
          <cell r="C1036">
            <v>13009001</v>
          </cell>
          <cell r="S1036" t="str">
            <v>4;20</v>
          </cell>
        </row>
        <row r="1037">
          <cell r="C1037">
            <v>13009002</v>
          </cell>
          <cell r="S1037" t="str">
            <v>5;20</v>
          </cell>
        </row>
        <row r="1038">
          <cell r="C1038">
            <v>14000001</v>
          </cell>
        </row>
        <row r="1039">
          <cell r="C1039">
            <v>14000002</v>
          </cell>
        </row>
        <row r="1040">
          <cell r="C1040">
            <v>14000003</v>
          </cell>
        </row>
        <row r="1041">
          <cell r="C1041">
            <v>14000004</v>
          </cell>
        </row>
        <row r="1042">
          <cell r="C1042">
            <v>14000005</v>
          </cell>
        </row>
        <row r="1043">
          <cell r="C1043">
            <v>14010001</v>
          </cell>
        </row>
        <row r="1044">
          <cell r="C1044">
            <v>14010002</v>
          </cell>
        </row>
        <row r="1045">
          <cell r="C1045">
            <v>14010003</v>
          </cell>
        </row>
        <row r="1046">
          <cell r="C1046">
            <v>14010004</v>
          </cell>
        </row>
        <row r="1047">
          <cell r="C1047">
            <v>14010005</v>
          </cell>
        </row>
        <row r="1048">
          <cell r="C1048">
            <v>14010006</v>
          </cell>
        </row>
        <row r="1049">
          <cell r="C1049">
            <v>14010007</v>
          </cell>
        </row>
        <row r="1050">
          <cell r="C1050">
            <v>14010008</v>
          </cell>
        </row>
        <row r="1051">
          <cell r="C1051">
            <v>14010009</v>
          </cell>
        </row>
        <row r="1052">
          <cell r="C1052">
            <v>14010010</v>
          </cell>
        </row>
        <row r="1053">
          <cell r="C1053">
            <v>14010011</v>
          </cell>
        </row>
        <row r="1054">
          <cell r="C1054">
            <v>14010012</v>
          </cell>
        </row>
        <row r="1055">
          <cell r="C1055">
            <v>14020001</v>
          </cell>
        </row>
        <row r="1056">
          <cell r="C1056">
            <v>14020002</v>
          </cell>
        </row>
        <row r="1057">
          <cell r="C1057">
            <v>14020003</v>
          </cell>
        </row>
        <row r="1058">
          <cell r="C1058">
            <v>14020004</v>
          </cell>
        </row>
        <row r="1059">
          <cell r="C1059">
            <v>14020005</v>
          </cell>
        </row>
        <row r="1060">
          <cell r="C1060">
            <v>14020006</v>
          </cell>
        </row>
        <row r="1061">
          <cell r="C1061">
            <v>14020007</v>
          </cell>
        </row>
        <row r="1062">
          <cell r="C1062">
            <v>14020008</v>
          </cell>
        </row>
        <row r="1063">
          <cell r="C1063">
            <v>14020009</v>
          </cell>
        </row>
        <row r="1064">
          <cell r="C1064">
            <v>14020010</v>
          </cell>
        </row>
        <row r="1065">
          <cell r="C1065">
            <v>14020011</v>
          </cell>
        </row>
        <row r="1066">
          <cell r="C1066">
            <v>14020012</v>
          </cell>
        </row>
        <row r="1067">
          <cell r="C1067">
            <v>14020013</v>
          </cell>
        </row>
        <row r="1068">
          <cell r="C1068">
            <v>14030001</v>
          </cell>
        </row>
        <row r="1069">
          <cell r="C1069">
            <v>14030002</v>
          </cell>
        </row>
        <row r="1070">
          <cell r="C1070">
            <v>14030003</v>
          </cell>
        </row>
        <row r="1071">
          <cell r="C1071">
            <v>14030004</v>
          </cell>
        </row>
        <row r="1072">
          <cell r="C1072">
            <v>14030005</v>
          </cell>
        </row>
        <row r="1073">
          <cell r="C1073">
            <v>14030006</v>
          </cell>
        </row>
        <row r="1074">
          <cell r="C1074">
            <v>14030007</v>
          </cell>
        </row>
        <row r="1075">
          <cell r="C1075">
            <v>14030008</v>
          </cell>
        </row>
        <row r="1076">
          <cell r="C1076">
            <v>14030009</v>
          </cell>
        </row>
        <row r="1077">
          <cell r="C1077">
            <v>14030010</v>
          </cell>
        </row>
        <row r="1078">
          <cell r="C1078">
            <v>14030011</v>
          </cell>
        </row>
        <row r="1079">
          <cell r="C1079">
            <v>14030012</v>
          </cell>
        </row>
        <row r="1080">
          <cell r="C1080">
            <v>14030013</v>
          </cell>
        </row>
        <row r="1081">
          <cell r="C1081">
            <v>14040001</v>
          </cell>
        </row>
        <row r="1082">
          <cell r="C1082">
            <v>14040002</v>
          </cell>
        </row>
        <row r="1083">
          <cell r="C1083">
            <v>14040003</v>
          </cell>
        </row>
        <row r="1084">
          <cell r="C1084">
            <v>14040004</v>
          </cell>
        </row>
        <row r="1085">
          <cell r="C1085">
            <v>14040005</v>
          </cell>
        </row>
        <row r="1086">
          <cell r="C1086">
            <v>14040006</v>
          </cell>
        </row>
        <row r="1087">
          <cell r="C1087">
            <v>14040007</v>
          </cell>
        </row>
        <row r="1088">
          <cell r="C1088">
            <v>14040008</v>
          </cell>
        </row>
        <row r="1089">
          <cell r="C1089">
            <v>14040009</v>
          </cell>
        </row>
        <row r="1090">
          <cell r="C1090">
            <v>14040010</v>
          </cell>
        </row>
        <row r="1091">
          <cell r="C1091">
            <v>14040011</v>
          </cell>
        </row>
        <row r="1092">
          <cell r="C1092">
            <v>14040012</v>
          </cell>
        </row>
        <row r="1093">
          <cell r="C1093">
            <v>14050001</v>
          </cell>
        </row>
        <row r="1094">
          <cell r="C1094">
            <v>14050002</v>
          </cell>
        </row>
        <row r="1095">
          <cell r="C1095">
            <v>14050003</v>
          </cell>
        </row>
        <row r="1096">
          <cell r="C1096">
            <v>14050004</v>
          </cell>
        </row>
        <row r="1097">
          <cell r="C1097">
            <v>14050005</v>
          </cell>
        </row>
        <row r="1098">
          <cell r="C1098">
            <v>14050006</v>
          </cell>
        </row>
        <row r="1099">
          <cell r="C1099">
            <v>14050007</v>
          </cell>
        </row>
        <row r="1100">
          <cell r="C1100">
            <v>14050008</v>
          </cell>
        </row>
        <row r="1101">
          <cell r="C1101">
            <v>14050009</v>
          </cell>
        </row>
        <row r="1102">
          <cell r="C1102">
            <v>14050010</v>
          </cell>
        </row>
        <row r="1103">
          <cell r="C1103">
            <v>14050011</v>
          </cell>
        </row>
        <row r="1104">
          <cell r="C1104">
            <v>14050012</v>
          </cell>
        </row>
        <row r="1105">
          <cell r="C1105">
            <v>14060001</v>
          </cell>
        </row>
        <row r="1106">
          <cell r="C1106">
            <v>14060002</v>
          </cell>
        </row>
        <row r="1107">
          <cell r="C1107">
            <v>14060003</v>
          </cell>
        </row>
        <row r="1108">
          <cell r="C1108">
            <v>14060004</v>
          </cell>
        </row>
        <row r="1109">
          <cell r="C1109">
            <v>14060005</v>
          </cell>
        </row>
        <row r="1110">
          <cell r="C1110">
            <v>14060006</v>
          </cell>
        </row>
        <row r="1111">
          <cell r="C1111">
            <v>14070001</v>
          </cell>
        </row>
        <row r="1112">
          <cell r="C1112">
            <v>14070002</v>
          </cell>
        </row>
        <row r="1113">
          <cell r="C1113">
            <v>14070003</v>
          </cell>
        </row>
        <row r="1114">
          <cell r="C1114">
            <v>14070004</v>
          </cell>
        </row>
        <row r="1115">
          <cell r="C1115">
            <v>14080001</v>
          </cell>
        </row>
        <row r="1116">
          <cell r="C1116">
            <v>14080002</v>
          </cell>
        </row>
        <row r="1117">
          <cell r="C1117">
            <v>14080003</v>
          </cell>
        </row>
        <row r="1118">
          <cell r="C1118">
            <v>14080004</v>
          </cell>
        </row>
        <row r="1119">
          <cell r="C1119">
            <v>14090001</v>
          </cell>
        </row>
        <row r="1120">
          <cell r="C1120">
            <v>14090002</v>
          </cell>
        </row>
        <row r="1121">
          <cell r="C1121">
            <v>14090003</v>
          </cell>
        </row>
        <row r="1122">
          <cell r="C1122">
            <v>14090004</v>
          </cell>
        </row>
        <row r="1123">
          <cell r="C1123">
            <v>14100001</v>
          </cell>
        </row>
        <row r="1124">
          <cell r="C1124">
            <v>14100002</v>
          </cell>
        </row>
        <row r="1125">
          <cell r="C1125">
            <v>14100003</v>
          </cell>
        </row>
        <row r="1126">
          <cell r="C1126">
            <v>14100004</v>
          </cell>
        </row>
        <row r="1127">
          <cell r="C1127">
            <v>14100005</v>
          </cell>
        </row>
        <row r="1128">
          <cell r="C1128">
            <v>14100006</v>
          </cell>
        </row>
        <row r="1129">
          <cell r="C1129">
            <v>14100007</v>
          </cell>
        </row>
        <row r="1130">
          <cell r="C1130">
            <v>14100008</v>
          </cell>
        </row>
        <row r="1131">
          <cell r="C1131">
            <v>14100011</v>
          </cell>
        </row>
        <row r="1132">
          <cell r="C1132">
            <v>14100012</v>
          </cell>
        </row>
        <row r="1133">
          <cell r="C1133">
            <v>14100021</v>
          </cell>
        </row>
        <row r="1134">
          <cell r="C1134">
            <v>14100022</v>
          </cell>
        </row>
        <row r="1135">
          <cell r="C1135">
            <v>14100101</v>
          </cell>
        </row>
        <row r="1136">
          <cell r="C1136">
            <v>14100102</v>
          </cell>
        </row>
        <row r="1137">
          <cell r="C1137">
            <v>14100103</v>
          </cell>
        </row>
        <row r="1138">
          <cell r="C1138">
            <v>14100104</v>
          </cell>
        </row>
        <row r="1139">
          <cell r="C1139">
            <v>14100105</v>
          </cell>
        </row>
        <row r="1140">
          <cell r="C1140">
            <v>14100106</v>
          </cell>
        </row>
        <row r="1141">
          <cell r="C1141">
            <v>14100107</v>
          </cell>
        </row>
        <row r="1142">
          <cell r="C1142">
            <v>14100108</v>
          </cell>
        </row>
        <row r="1143">
          <cell r="C1143">
            <v>14100111</v>
          </cell>
        </row>
        <row r="1144">
          <cell r="C1144">
            <v>14100112</v>
          </cell>
        </row>
        <row r="1145">
          <cell r="C1145">
            <v>14100121</v>
          </cell>
        </row>
        <row r="1146">
          <cell r="C1146">
            <v>14100122</v>
          </cell>
        </row>
        <row r="1147">
          <cell r="C1147">
            <v>14100201</v>
          </cell>
        </row>
        <row r="1148">
          <cell r="C1148">
            <v>14100202</v>
          </cell>
        </row>
        <row r="1149">
          <cell r="C1149">
            <v>14100203</v>
          </cell>
        </row>
        <row r="1150">
          <cell r="C1150">
            <v>14100204</v>
          </cell>
        </row>
        <row r="1151">
          <cell r="C1151">
            <v>14100211</v>
          </cell>
        </row>
        <row r="1152">
          <cell r="C1152">
            <v>14100221</v>
          </cell>
        </row>
        <row r="1153">
          <cell r="C1153">
            <v>14110001</v>
          </cell>
        </row>
        <row r="1154">
          <cell r="C1154">
            <v>14110002</v>
          </cell>
        </row>
        <row r="1155">
          <cell r="C1155">
            <v>14110003</v>
          </cell>
        </row>
        <row r="1156">
          <cell r="C1156">
            <v>14110004</v>
          </cell>
        </row>
        <row r="1157">
          <cell r="C1157">
            <v>14110005</v>
          </cell>
        </row>
        <row r="1158">
          <cell r="C1158">
            <v>14110006</v>
          </cell>
        </row>
        <row r="1159">
          <cell r="C1159">
            <v>14110007</v>
          </cell>
        </row>
        <row r="1160">
          <cell r="C1160">
            <v>14110008</v>
          </cell>
        </row>
        <row r="1161">
          <cell r="C1161">
            <v>14110009</v>
          </cell>
        </row>
        <row r="1162">
          <cell r="C1162">
            <v>14110010</v>
          </cell>
        </row>
        <row r="1163">
          <cell r="C1163">
            <v>14110011</v>
          </cell>
        </row>
        <row r="1164">
          <cell r="C1164">
            <v>14110012</v>
          </cell>
        </row>
        <row r="1165">
          <cell r="C1165">
            <v>14110021</v>
          </cell>
        </row>
        <row r="1166">
          <cell r="C1166">
            <v>14110022</v>
          </cell>
        </row>
        <row r="1167">
          <cell r="C1167">
            <v>14110023</v>
          </cell>
        </row>
        <row r="1168">
          <cell r="C1168">
            <v>15201001</v>
          </cell>
        </row>
        <row r="1169">
          <cell r="C1169">
            <v>15201002</v>
          </cell>
        </row>
        <row r="1170">
          <cell r="C1170">
            <v>15201003</v>
          </cell>
        </row>
        <row r="1171">
          <cell r="C1171">
            <v>15201004</v>
          </cell>
        </row>
        <row r="1172">
          <cell r="C1172">
            <v>15201005</v>
          </cell>
        </row>
        <row r="1173">
          <cell r="C1173">
            <v>15201006</v>
          </cell>
        </row>
        <row r="1174">
          <cell r="C1174">
            <v>15202001</v>
          </cell>
        </row>
        <row r="1175">
          <cell r="C1175">
            <v>15202002</v>
          </cell>
        </row>
        <row r="1176">
          <cell r="C1176">
            <v>15202003</v>
          </cell>
        </row>
        <row r="1177">
          <cell r="C1177">
            <v>15202004</v>
          </cell>
        </row>
        <row r="1178">
          <cell r="C1178">
            <v>15202005</v>
          </cell>
        </row>
        <row r="1179">
          <cell r="C1179">
            <v>15202006</v>
          </cell>
        </row>
        <row r="1180">
          <cell r="C1180">
            <v>15203001</v>
          </cell>
        </row>
        <row r="1181">
          <cell r="C1181">
            <v>15203002</v>
          </cell>
        </row>
        <row r="1182">
          <cell r="C1182">
            <v>15203003</v>
          </cell>
        </row>
        <row r="1183">
          <cell r="C1183">
            <v>15203004</v>
          </cell>
        </row>
        <row r="1184">
          <cell r="C1184">
            <v>15203005</v>
          </cell>
        </row>
        <row r="1185">
          <cell r="C1185">
            <v>15203006</v>
          </cell>
        </row>
        <row r="1186">
          <cell r="C1186">
            <v>15204001</v>
          </cell>
        </row>
        <row r="1187">
          <cell r="C1187">
            <v>15204002</v>
          </cell>
        </row>
        <row r="1188">
          <cell r="C1188">
            <v>15204003</v>
          </cell>
        </row>
        <row r="1189">
          <cell r="C1189">
            <v>15204004</v>
          </cell>
        </row>
        <row r="1190">
          <cell r="C1190">
            <v>15204005</v>
          </cell>
        </row>
        <row r="1191">
          <cell r="C1191">
            <v>15204006</v>
          </cell>
        </row>
        <row r="1192">
          <cell r="C1192">
            <v>15205001</v>
          </cell>
        </row>
        <row r="1193">
          <cell r="C1193">
            <v>15205002</v>
          </cell>
        </row>
        <row r="1194">
          <cell r="C1194">
            <v>15205003</v>
          </cell>
        </row>
        <row r="1195">
          <cell r="C1195">
            <v>15205004</v>
          </cell>
        </row>
        <row r="1196">
          <cell r="C1196">
            <v>15205005</v>
          </cell>
        </row>
        <row r="1197">
          <cell r="C1197">
            <v>15205006</v>
          </cell>
        </row>
        <row r="1198">
          <cell r="C1198">
            <v>15205007</v>
          </cell>
        </row>
        <row r="1199">
          <cell r="C1199">
            <v>15206001</v>
          </cell>
        </row>
        <row r="1200">
          <cell r="C1200">
            <v>15206002</v>
          </cell>
        </row>
        <row r="1201">
          <cell r="C1201">
            <v>15206003</v>
          </cell>
        </row>
        <row r="1202">
          <cell r="C1202">
            <v>15207001</v>
          </cell>
        </row>
        <row r="1203">
          <cell r="C1203">
            <v>15207002</v>
          </cell>
        </row>
        <row r="1204">
          <cell r="C1204">
            <v>15207003</v>
          </cell>
        </row>
        <row r="1205">
          <cell r="C1205">
            <v>15208001</v>
          </cell>
        </row>
        <row r="1206">
          <cell r="C1206">
            <v>15208002</v>
          </cell>
        </row>
        <row r="1207">
          <cell r="C1207">
            <v>15208003</v>
          </cell>
        </row>
        <row r="1208">
          <cell r="C1208">
            <v>15209001</v>
          </cell>
        </row>
        <row r="1209">
          <cell r="C1209">
            <v>15209002</v>
          </cell>
        </row>
        <row r="1210">
          <cell r="C1210">
            <v>15210001</v>
          </cell>
        </row>
        <row r="1211">
          <cell r="C1211">
            <v>15210002</v>
          </cell>
        </row>
        <row r="1212">
          <cell r="C1212">
            <v>15210003</v>
          </cell>
        </row>
        <row r="1213">
          <cell r="C1213">
            <v>15210004</v>
          </cell>
        </row>
        <row r="1214">
          <cell r="C1214">
            <v>15210011</v>
          </cell>
        </row>
        <row r="1215">
          <cell r="C1215">
            <v>15210012</v>
          </cell>
        </row>
        <row r="1216">
          <cell r="C1216">
            <v>15210101</v>
          </cell>
        </row>
        <row r="1217">
          <cell r="C1217">
            <v>15210102</v>
          </cell>
        </row>
        <row r="1218">
          <cell r="C1218">
            <v>15210103</v>
          </cell>
        </row>
        <row r="1219">
          <cell r="C1219">
            <v>15210104</v>
          </cell>
        </row>
        <row r="1220">
          <cell r="C1220">
            <v>15210111</v>
          </cell>
        </row>
        <row r="1221">
          <cell r="C1221">
            <v>15210112</v>
          </cell>
        </row>
        <row r="1222">
          <cell r="C1222">
            <v>15210201</v>
          </cell>
        </row>
        <row r="1223">
          <cell r="C1223">
            <v>15210202</v>
          </cell>
        </row>
        <row r="1224">
          <cell r="C1224">
            <v>15210211</v>
          </cell>
        </row>
        <row r="1225">
          <cell r="C1225">
            <v>15211001</v>
          </cell>
        </row>
        <row r="1226">
          <cell r="C1226">
            <v>15211002</v>
          </cell>
        </row>
        <row r="1227">
          <cell r="C1227">
            <v>15211003</v>
          </cell>
        </row>
        <row r="1228">
          <cell r="C1228">
            <v>15211004</v>
          </cell>
        </row>
        <row r="1229">
          <cell r="C1229">
            <v>15211005</v>
          </cell>
        </row>
        <row r="1230">
          <cell r="C1230">
            <v>15211006</v>
          </cell>
        </row>
        <row r="1231">
          <cell r="C1231">
            <v>15211011</v>
          </cell>
        </row>
        <row r="1232">
          <cell r="C1232">
            <v>15211012</v>
          </cell>
        </row>
        <row r="1233">
          <cell r="C1233">
            <v>15211013</v>
          </cell>
        </row>
        <row r="1234">
          <cell r="C1234">
            <v>15301001</v>
          </cell>
        </row>
        <row r="1235">
          <cell r="C1235">
            <v>15301002</v>
          </cell>
        </row>
        <row r="1236">
          <cell r="C1236">
            <v>15301003</v>
          </cell>
        </row>
        <row r="1237">
          <cell r="C1237">
            <v>15301004</v>
          </cell>
        </row>
        <row r="1238">
          <cell r="C1238">
            <v>15301005</v>
          </cell>
        </row>
        <row r="1239">
          <cell r="C1239">
            <v>15301006</v>
          </cell>
        </row>
        <row r="1240">
          <cell r="C1240">
            <v>15302001</v>
          </cell>
        </row>
        <row r="1241">
          <cell r="C1241">
            <v>15302002</v>
          </cell>
        </row>
        <row r="1242">
          <cell r="C1242">
            <v>15302003</v>
          </cell>
        </row>
        <row r="1243">
          <cell r="C1243">
            <v>15302004</v>
          </cell>
        </row>
        <row r="1244">
          <cell r="C1244">
            <v>15302005</v>
          </cell>
        </row>
        <row r="1245">
          <cell r="C1245">
            <v>15302006</v>
          </cell>
        </row>
        <row r="1246">
          <cell r="C1246">
            <v>15302007</v>
          </cell>
        </row>
        <row r="1247">
          <cell r="C1247">
            <v>15303001</v>
          </cell>
        </row>
        <row r="1248">
          <cell r="C1248">
            <v>15303002</v>
          </cell>
        </row>
        <row r="1249">
          <cell r="C1249">
            <v>15303003</v>
          </cell>
        </row>
        <row r="1250">
          <cell r="C1250">
            <v>15303004</v>
          </cell>
        </row>
        <row r="1251">
          <cell r="C1251">
            <v>15303005</v>
          </cell>
        </row>
        <row r="1252">
          <cell r="C1252">
            <v>15303006</v>
          </cell>
        </row>
        <row r="1253">
          <cell r="C1253">
            <v>15304001</v>
          </cell>
        </row>
        <row r="1254">
          <cell r="C1254">
            <v>15304002</v>
          </cell>
        </row>
        <row r="1255">
          <cell r="C1255">
            <v>15304003</v>
          </cell>
        </row>
        <row r="1256">
          <cell r="C1256">
            <v>15304004</v>
          </cell>
        </row>
        <row r="1257">
          <cell r="C1257">
            <v>15304005</v>
          </cell>
        </row>
        <row r="1258">
          <cell r="C1258">
            <v>15304006</v>
          </cell>
        </row>
        <row r="1259">
          <cell r="C1259">
            <v>15305001</v>
          </cell>
        </row>
        <row r="1260">
          <cell r="C1260">
            <v>15305002</v>
          </cell>
        </row>
        <row r="1261">
          <cell r="C1261">
            <v>15305003</v>
          </cell>
        </row>
        <row r="1262">
          <cell r="C1262">
            <v>15305004</v>
          </cell>
        </row>
        <row r="1263">
          <cell r="C1263">
            <v>15305005</v>
          </cell>
        </row>
        <row r="1264">
          <cell r="C1264">
            <v>15305006</v>
          </cell>
        </row>
        <row r="1265">
          <cell r="C1265">
            <v>15306001</v>
          </cell>
        </row>
        <row r="1266">
          <cell r="C1266">
            <v>15306002</v>
          </cell>
        </row>
        <row r="1267">
          <cell r="C1267">
            <v>15306003</v>
          </cell>
        </row>
        <row r="1268">
          <cell r="C1268">
            <v>15307001</v>
          </cell>
        </row>
        <row r="1269">
          <cell r="C1269">
            <v>15307002</v>
          </cell>
        </row>
        <row r="1270">
          <cell r="C1270">
            <v>15308001</v>
          </cell>
        </row>
        <row r="1271">
          <cell r="C1271">
            <v>15308002</v>
          </cell>
        </row>
        <row r="1272">
          <cell r="C1272">
            <v>15308003</v>
          </cell>
        </row>
        <row r="1273">
          <cell r="C1273">
            <v>15308004</v>
          </cell>
        </row>
        <row r="1274">
          <cell r="C1274">
            <v>15309001</v>
          </cell>
        </row>
        <row r="1275">
          <cell r="C1275">
            <v>15309002</v>
          </cell>
        </row>
        <row r="1276">
          <cell r="C1276">
            <v>15309003</v>
          </cell>
        </row>
        <row r="1277">
          <cell r="C1277">
            <v>15310001</v>
          </cell>
        </row>
        <row r="1278">
          <cell r="C1278">
            <v>15310002</v>
          </cell>
        </row>
        <row r="1279">
          <cell r="C1279">
            <v>15310003</v>
          </cell>
        </row>
        <row r="1280">
          <cell r="C1280">
            <v>15310004</v>
          </cell>
        </row>
        <row r="1281">
          <cell r="C1281">
            <v>15310011</v>
          </cell>
        </row>
        <row r="1282">
          <cell r="C1282">
            <v>15310012</v>
          </cell>
        </row>
        <row r="1283">
          <cell r="C1283">
            <v>15310101</v>
          </cell>
        </row>
        <row r="1284">
          <cell r="C1284">
            <v>15310102</v>
          </cell>
        </row>
        <row r="1285">
          <cell r="C1285">
            <v>15310103</v>
          </cell>
        </row>
        <row r="1286">
          <cell r="C1286">
            <v>15310104</v>
          </cell>
        </row>
        <row r="1287">
          <cell r="C1287">
            <v>15310111</v>
          </cell>
        </row>
        <row r="1288">
          <cell r="C1288">
            <v>15310112</v>
          </cell>
        </row>
        <row r="1289">
          <cell r="C1289">
            <v>15310201</v>
          </cell>
        </row>
        <row r="1290">
          <cell r="C1290">
            <v>15310202</v>
          </cell>
        </row>
        <row r="1291">
          <cell r="C1291">
            <v>15310211</v>
          </cell>
        </row>
        <row r="1292">
          <cell r="C1292">
            <v>15311001</v>
          </cell>
        </row>
        <row r="1293">
          <cell r="C1293">
            <v>15311002</v>
          </cell>
        </row>
        <row r="1294">
          <cell r="C1294">
            <v>15311003</v>
          </cell>
        </row>
        <row r="1295">
          <cell r="C1295">
            <v>15311004</v>
          </cell>
        </row>
        <row r="1296">
          <cell r="C1296">
            <v>15311005</v>
          </cell>
        </row>
        <row r="1297">
          <cell r="C1297">
            <v>15311006</v>
          </cell>
        </row>
        <row r="1298">
          <cell r="C1298">
            <v>15311011</v>
          </cell>
        </row>
        <row r="1299">
          <cell r="C1299">
            <v>15311012</v>
          </cell>
        </row>
        <row r="1300">
          <cell r="C1300">
            <v>15311013</v>
          </cell>
        </row>
        <row r="1301">
          <cell r="C1301">
            <v>15401001</v>
          </cell>
        </row>
        <row r="1302">
          <cell r="C1302">
            <v>15401002</v>
          </cell>
        </row>
        <row r="1303">
          <cell r="C1303">
            <v>15401003</v>
          </cell>
        </row>
        <row r="1304">
          <cell r="C1304">
            <v>15401004</v>
          </cell>
        </row>
        <row r="1305">
          <cell r="C1305">
            <v>15401005</v>
          </cell>
        </row>
        <row r="1306">
          <cell r="C1306">
            <v>15401006</v>
          </cell>
        </row>
        <row r="1307">
          <cell r="C1307">
            <v>15401007</v>
          </cell>
        </row>
        <row r="1308">
          <cell r="C1308">
            <v>15402001</v>
          </cell>
        </row>
        <row r="1309">
          <cell r="C1309">
            <v>15402002</v>
          </cell>
        </row>
        <row r="1310">
          <cell r="C1310">
            <v>15402003</v>
          </cell>
        </row>
        <row r="1311">
          <cell r="C1311">
            <v>15402004</v>
          </cell>
        </row>
        <row r="1312">
          <cell r="C1312">
            <v>15402005</v>
          </cell>
        </row>
        <row r="1313">
          <cell r="C1313">
            <v>15402006</v>
          </cell>
        </row>
        <row r="1314">
          <cell r="C1314">
            <v>15403001</v>
          </cell>
        </row>
        <row r="1315">
          <cell r="C1315">
            <v>15403002</v>
          </cell>
        </row>
        <row r="1316">
          <cell r="C1316">
            <v>15403003</v>
          </cell>
        </row>
        <row r="1317">
          <cell r="C1317">
            <v>15403004</v>
          </cell>
        </row>
        <row r="1318">
          <cell r="C1318">
            <v>15403005</v>
          </cell>
        </row>
        <row r="1319">
          <cell r="C1319">
            <v>15403006</v>
          </cell>
        </row>
        <row r="1320">
          <cell r="C1320">
            <v>15404001</v>
          </cell>
        </row>
        <row r="1321">
          <cell r="C1321">
            <v>15404002</v>
          </cell>
        </row>
        <row r="1322">
          <cell r="C1322">
            <v>15404003</v>
          </cell>
        </row>
        <row r="1323">
          <cell r="C1323">
            <v>15404004</v>
          </cell>
        </row>
        <row r="1324">
          <cell r="C1324">
            <v>15404005</v>
          </cell>
        </row>
        <row r="1325">
          <cell r="C1325">
            <v>15404006</v>
          </cell>
        </row>
        <row r="1326">
          <cell r="C1326">
            <v>15405001</v>
          </cell>
        </row>
        <row r="1327">
          <cell r="C1327">
            <v>15405002</v>
          </cell>
        </row>
        <row r="1328">
          <cell r="C1328">
            <v>15405003</v>
          </cell>
        </row>
        <row r="1329">
          <cell r="C1329">
            <v>15405004</v>
          </cell>
        </row>
        <row r="1330">
          <cell r="C1330">
            <v>15405005</v>
          </cell>
        </row>
        <row r="1331">
          <cell r="C1331">
            <v>15405006</v>
          </cell>
        </row>
        <row r="1332">
          <cell r="C1332">
            <v>15406001</v>
          </cell>
        </row>
        <row r="1333">
          <cell r="C1333">
            <v>15406002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M7" sqref="M7:O7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17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17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17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17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17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17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17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17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17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17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17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17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17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17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17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17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17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17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17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17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17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17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17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17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17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17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17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17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17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17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17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17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17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17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17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17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17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17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17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17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17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17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17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17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17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17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17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17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18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17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17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18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18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17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18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18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17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18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17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17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18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18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18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CP23:CP25"/>
    <mergeCell ref="CP26:CP28"/>
    <mergeCell ref="CP8:CP10"/>
    <mergeCell ref="CP11:CP13"/>
    <mergeCell ref="CP14:CP16"/>
    <mergeCell ref="CP17:CP19"/>
    <mergeCell ref="CP20:CP22"/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13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" workbookViewId="0">
      <selection activeCell="I18" sqref="I18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LOOKUP(Q96,[2]ItemProto!$C$856:$C$1333,[2]ItemProto!$S$856:$S$1333)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LOOKUP(W96,[2]ItemProto!$C$856:$C$1333,[2]ItemProto!$S$856:$S$1333)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LOOKUP(AC96,[2]ItemProto!$C$856:$C$1333,[2]ItemProto!$S$856:$S$1333)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LOOKUP(Q97,[2]ItemProto!$C$856:$C$1333,[2]ItemProto!$S$856:$S$1333)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LOOKUP(W97,[2]ItemProto!$C$856:$C$1333,[2]ItemProto!$S$856:$S$1333)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LOOKUP(AC97,[2]ItemProto!$C$856:$C$1333,[2]ItemProto!$S$856:$S$1333)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LOOKUP(Q98,[2]ItemProto!$C$856:$C$1333,[2]ItemProto!$S$856:$S$1333)</f>
        <v>#N/A</v>
      </c>
      <c r="R98" s="1" t="s">
        <v>1276</v>
      </c>
      <c r="S98" s="3" t="s">
        <v>1277</v>
      </c>
      <c r="T98" s="3"/>
      <c r="U98" s="3"/>
      <c r="V98" s="3">
        <f>LOOKUP(W98,[2]ItemProto!$C$856:$C$1333,[2]ItemProto!$S$856:$S$1333)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LOOKUP(AC98,[2]ItemProto!$C$856:$C$1333,[2]ItemProto!$S$856:$S$1333)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LOOKUP(Q99,[2]ItemProto!$C$856:$C$1333,[2]ItemProto!$S$856:$S$1333)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LOOKUP(W99,[2]ItemProto!$C$856:$C$1333,[2]ItemProto!$S$856:$S$1333)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LOOKUP(AC99,[2]ItemProto!$C$856:$C$1333,[2]ItemProto!$S$856:$S$1333)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LOOKUP(Q100,[2]ItemProto!$C$856:$C$1333,[2]ItemProto!$S$856:$S$1333)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LOOKUP(W100,[2]ItemProto!$C$856:$C$1333,[2]ItemProto!$S$856:$S$1333)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LOOKUP(AC100,[2]ItemProto!$C$856:$C$1333,[2]ItemProto!$S$856:$S$1333)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LOOKUP(AC101,[2]ItemProto!$C$856:$C$1333,[2]ItemProto!$S$856:$S$1333)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LOOKUP(AC105,[2]ItemProto!$C$856:$C$1333,[2]ItemProto!$S$856:$S$1333)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LOOKUP(AC106,[2]ItemProto!$C$856:$C$1333,[2]ItemProto!$S$856:$S$1333)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LOOKUP(AC107,[2]ItemProto!$C$856:$C$1333,[2]ItemProto!$S$856:$S$1333)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LOOKUP(AC108,[2]ItemProto!$C$856:$C$1333,[2]ItemProto!$S$856:$S$1333)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AT100"/>
  <sheetViews>
    <sheetView tabSelected="1" zoomScaleNormal="100" workbookViewId="0">
      <selection activeCell="F20" sqref="F20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1" max="11" width="11.625" customWidth="1"/>
    <col min="12" max="12" width="16.5" customWidth="1"/>
    <col min="14" max="14" width="12.625" customWidth="1"/>
    <col min="15" max="15" width="22.5" customWidth="1"/>
    <col min="18" max="18" width="22.375" customWidth="1"/>
    <col min="24" max="24" width="11.75" customWidth="1"/>
    <col min="35" max="35" width="20.5" bestFit="1" customWidth="1"/>
    <col min="36" max="36" width="26.125" bestFit="1" customWidth="1"/>
    <col min="37" max="37" width="20.5" bestFit="1" customWidth="1"/>
    <col min="38" max="38" width="24.875" bestFit="1" customWidth="1"/>
    <col min="39" max="39" width="20.5" bestFit="1" customWidth="1"/>
    <col min="40" max="40" width="24.875" bestFit="1" customWidth="1"/>
    <col min="41" max="41" width="10.625" bestFit="1" customWidth="1"/>
    <col min="42" max="42" width="13.5" bestFit="1" customWidth="1"/>
    <col min="43" max="43" width="20.5" bestFit="1" customWidth="1"/>
    <col min="44" max="44" width="24.875" bestFit="1" customWidth="1"/>
    <col min="45" max="45" width="29.375" bestFit="1" customWidth="1"/>
    <col min="46" max="46" width="31.75" customWidth="1"/>
  </cols>
  <sheetData>
    <row r="1" spans="2:46" s="3" customFormat="1" ht="20.100000000000001" customHeight="1">
      <c r="B1" s="1"/>
      <c r="C1" s="1"/>
      <c r="G1" s="1"/>
      <c r="H1" s="1"/>
    </row>
    <row r="2" spans="2:46" s="3" customFormat="1" ht="20.100000000000001" customHeight="1">
      <c r="B2" s="1"/>
      <c r="C2" s="1"/>
      <c r="F2" s="67"/>
      <c r="G2" s="4"/>
      <c r="H2" s="4"/>
      <c r="N2" s="3" t="s">
        <v>2980</v>
      </c>
      <c r="S2" s="1"/>
      <c r="T2" s="1"/>
      <c r="U2" s="1"/>
      <c r="V2" s="1"/>
      <c r="W2" s="1"/>
      <c r="X2" s="1"/>
      <c r="Y2" s="1"/>
      <c r="Z2" s="1"/>
      <c r="AA2" s="1"/>
    </row>
    <row r="3" spans="2:46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1" t="s">
        <v>2978</v>
      </c>
      <c r="L3" s="1" t="s">
        <v>2979</v>
      </c>
      <c r="N3" s="3" t="s">
        <v>2981</v>
      </c>
      <c r="S3" s="1"/>
      <c r="Y3" s="1" t="s">
        <v>3083</v>
      </c>
      <c r="Z3" s="1"/>
      <c r="AA3" s="1"/>
    </row>
    <row r="4" spans="2:46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  <c r="S4" s="1"/>
      <c r="Y4" s="1" t="s">
        <v>3086</v>
      </c>
      <c r="Z4" s="1" t="s">
        <v>3084</v>
      </c>
      <c r="AA4" s="1" t="s">
        <v>3085</v>
      </c>
    </row>
    <row r="5" spans="2:46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  <c r="S5" s="1"/>
      <c r="Y5" s="1">
        <v>10500</v>
      </c>
      <c r="Z5" s="1">
        <v>1000</v>
      </c>
      <c r="AA5" s="1">
        <v>300</v>
      </c>
    </row>
    <row r="6" spans="2:46" s="3" customFormat="1" ht="20.100000000000001" customHeight="1">
      <c r="B6" s="1" t="s">
        <v>2959</v>
      </c>
      <c r="C6" s="1" t="s">
        <v>2961</v>
      </c>
      <c r="F6" s="67"/>
      <c r="G6" s="4"/>
      <c r="H6" s="4"/>
      <c r="K6" s="1" t="s">
        <v>3097</v>
      </c>
      <c r="N6" s="3" t="s">
        <v>2984</v>
      </c>
      <c r="S6" s="1"/>
      <c r="T6" s="1"/>
      <c r="U6" s="1"/>
      <c r="V6" s="1"/>
      <c r="W6" s="1"/>
      <c r="X6" s="1"/>
      <c r="Y6" s="1"/>
      <c r="Z6" s="1"/>
      <c r="AA6" s="1"/>
    </row>
    <row r="7" spans="2:46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  <c r="O7" s="1" t="s">
        <v>2996</v>
      </c>
      <c r="S7" s="1"/>
      <c r="T7" s="1"/>
      <c r="U7" s="1"/>
      <c r="V7" s="1"/>
      <c r="W7" s="1"/>
      <c r="X7" s="1"/>
      <c r="Y7" s="1" t="s">
        <v>3084</v>
      </c>
      <c r="Z7" s="1"/>
      <c r="AA7" s="1"/>
      <c r="AB7" s="1">
        <v>0.75</v>
      </c>
      <c r="AC7" s="1">
        <v>0.25</v>
      </c>
      <c r="AD7" s="1">
        <v>0.5</v>
      </c>
      <c r="AE7" s="1">
        <v>0.25</v>
      </c>
      <c r="AF7" s="1">
        <v>0.25</v>
      </c>
    </row>
    <row r="8" spans="2:46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  <c r="Q8" s="4" t="s">
        <v>3075</v>
      </c>
      <c r="S8" s="1"/>
      <c r="T8" s="4" t="s">
        <v>3081</v>
      </c>
      <c r="U8" s="4" t="s">
        <v>3095</v>
      </c>
      <c r="V8" s="4" t="s">
        <v>3094</v>
      </c>
      <c r="W8" s="4" t="s">
        <v>3090</v>
      </c>
      <c r="X8" s="4" t="s">
        <v>3096</v>
      </c>
      <c r="Y8" s="4" t="s">
        <v>3082</v>
      </c>
      <c r="Z8" s="4" t="s">
        <v>3088</v>
      </c>
      <c r="AA8" s="4" t="s">
        <v>3087</v>
      </c>
      <c r="AB8" s="4" t="s">
        <v>3085</v>
      </c>
      <c r="AC8" s="4" t="s">
        <v>3085</v>
      </c>
      <c r="AD8" s="1" t="s">
        <v>3086</v>
      </c>
      <c r="AE8" s="1" t="s">
        <v>3086</v>
      </c>
      <c r="AF8" s="1" t="s">
        <v>3086</v>
      </c>
      <c r="AG8" s="1" t="s">
        <v>3089</v>
      </c>
      <c r="AI8" s="3" t="s">
        <v>3106</v>
      </c>
      <c r="AK8" s="3">
        <v>2</v>
      </c>
      <c r="AM8" s="3">
        <v>3</v>
      </c>
      <c r="AO8" s="3">
        <v>4</v>
      </c>
      <c r="AQ8" s="3">
        <v>5</v>
      </c>
      <c r="AS8" s="3">
        <v>6</v>
      </c>
    </row>
    <row r="9" spans="2:46" s="3" customFormat="1" ht="20.100000000000001" customHeight="1">
      <c r="B9" s="1"/>
      <c r="C9" s="1"/>
      <c r="F9" s="67"/>
      <c r="G9" s="4"/>
      <c r="H9" s="4"/>
      <c r="I9" s="3" t="s">
        <v>2975</v>
      </c>
      <c r="K9" s="1">
        <v>60</v>
      </c>
      <c r="L9" s="1">
        <f>K9*30</f>
        <v>1800</v>
      </c>
      <c r="N9" s="1">
        <v>1</v>
      </c>
      <c r="O9" s="1" t="s">
        <v>2997</v>
      </c>
      <c r="P9" s="1" t="s">
        <v>2710</v>
      </c>
      <c r="Q9" s="1" t="s">
        <v>3098</v>
      </c>
      <c r="R9" s="1" t="s">
        <v>2997</v>
      </c>
      <c r="S9" s="1"/>
      <c r="T9" s="4">
        <v>1</v>
      </c>
      <c r="U9" s="4">
        <f>V9/$M$19</f>
        <v>3.3333333333333335</v>
      </c>
      <c r="V9" s="4">
        <f>SUM($W$9:W9)</f>
        <v>100</v>
      </c>
      <c r="W9" s="1">
        <v>100</v>
      </c>
      <c r="X9" s="1">
        <v>100</v>
      </c>
      <c r="Y9" s="1">
        <v>10</v>
      </c>
      <c r="Z9" s="1">
        <f>Y9</f>
        <v>10</v>
      </c>
      <c r="AA9" s="1">
        <f>Z9*3</f>
        <v>30</v>
      </c>
      <c r="AB9" s="1">
        <f>Z9</f>
        <v>10</v>
      </c>
      <c r="AC9" s="1">
        <v>5</v>
      </c>
      <c r="AD9" s="1">
        <f>Z9*5</f>
        <v>50</v>
      </c>
      <c r="AE9" s="1">
        <f>Z9*2.5</f>
        <v>25</v>
      </c>
      <c r="AF9" s="1">
        <f>Z9*2.5</f>
        <v>25</v>
      </c>
      <c r="AG9" s="1">
        <f>Z9</f>
        <v>10</v>
      </c>
      <c r="AI9" s="3" t="str">
        <f>"100403;"&amp;Z9&amp;"@100603;"&amp;AB9</f>
        <v>100403;10@100603;10</v>
      </c>
      <c r="AJ9" s="3" t="str">
        <f>"攻击提升"&amp;Z9&amp;"点;物防提升"&amp;AB9&amp;"点"</f>
        <v>攻击提升10点;物防提升10点</v>
      </c>
      <c r="AK9" s="3" t="str">
        <f>"100403;"&amp;Z9&amp;"@100803;"&amp;AB9</f>
        <v>100403;10@100803;10</v>
      </c>
      <c r="AL9" s="3" t="str">
        <f>"攻击提升"&amp;Z9&amp;"点;魔防提升"&amp;AB9&amp;"点"</f>
        <v>攻击提升10点;魔防提升10点</v>
      </c>
      <c r="AM9" s="3" t="str">
        <f>"100403;"&amp;Z9&amp;"@100203;"&amp;AE9</f>
        <v>100403;10@100203;25</v>
      </c>
      <c r="AN9" s="3" t="str">
        <f>"攻击提升"&amp;Z9&amp;"点;血量提升"&amp;AE9&amp;"点"</f>
        <v>攻击提升10点;血量提升25点</v>
      </c>
      <c r="AO9" s="3" t="str">
        <f>"100203;"&amp;AD9</f>
        <v>100203;50</v>
      </c>
      <c r="AP9" s="3" t="str">
        <f>"血量提升"&amp;AD9&amp;"点"</f>
        <v>血量提升50点</v>
      </c>
      <c r="AQ9" s="3" t="str">
        <f>"101003;"&amp;Z9&amp;"@100203;"&amp;AE9</f>
        <v>101003;10@100203;25</v>
      </c>
      <c r="AR9" s="3" t="str">
        <f>"魔法提升"&amp;Z9&amp;"点;血量提升"&amp;AE9&amp;"点"</f>
        <v>魔法提升10点;血量提升25点</v>
      </c>
      <c r="AS9" s="3" t="str">
        <f>"100203;"&amp;AE9&amp;"@100603;"&amp;AC9&amp;"@100803;"&amp;AC9</f>
        <v>100203;25@100603;5@100803;5</v>
      </c>
      <c r="AT9" s="3" t="str">
        <f>"血量提升"&amp;AE9&amp;"点;物防提升"&amp;AC9&amp;"点"&amp;"点;魔防提升"&amp;AC9&amp;"点"</f>
        <v>血量提升25点;物防提升5点点;魔防提升5点</v>
      </c>
    </row>
    <row r="10" spans="2:46" s="3" customFormat="1" ht="20.100000000000001" customHeight="1">
      <c r="B10" s="1"/>
      <c r="C10" s="1"/>
      <c r="F10" s="67"/>
      <c r="G10" s="4"/>
      <c r="H10" s="4"/>
      <c r="K10" s="1">
        <f>K9*9</f>
        <v>540</v>
      </c>
      <c r="L10" s="1"/>
      <c r="N10" s="1">
        <v>2</v>
      </c>
      <c r="O10" s="1" t="s">
        <v>2998</v>
      </c>
      <c r="P10" s="1">
        <v>300</v>
      </c>
      <c r="Q10" s="1" t="s">
        <v>3076</v>
      </c>
      <c r="R10" s="1" t="s">
        <v>2998</v>
      </c>
      <c r="S10" s="1"/>
      <c r="T10" s="4">
        <v>2</v>
      </c>
      <c r="U10" s="4">
        <f t="shared" ref="U10:U18" si="0">V10/$M$19</f>
        <v>8.3333333333333339</v>
      </c>
      <c r="V10" s="4">
        <f>SUM($W$9:W10)</f>
        <v>250</v>
      </c>
      <c r="W10" s="1">
        <v>150</v>
      </c>
      <c r="X10" s="1">
        <f>X9+100</f>
        <v>200</v>
      </c>
      <c r="Y10" s="1">
        <v>15</v>
      </c>
      <c r="Z10" s="1">
        <f>SUM($Y$9:Y10)</f>
        <v>25</v>
      </c>
      <c r="AA10" s="1">
        <f t="shared" ref="AA10:AA18" si="1">Z10*3</f>
        <v>75</v>
      </c>
      <c r="AB10" s="1">
        <f>Z10</f>
        <v>25</v>
      </c>
      <c r="AC10" s="1">
        <v>10</v>
      </c>
      <c r="AD10" s="1">
        <f>Z10*5</f>
        <v>125</v>
      </c>
      <c r="AE10" s="1">
        <v>60</v>
      </c>
      <c r="AF10" s="1">
        <v>60</v>
      </c>
      <c r="AG10" s="1">
        <f t="shared" ref="AG10:AG18" si="2">Z10</f>
        <v>25</v>
      </c>
      <c r="AI10" s="3" t="str">
        <f t="shared" ref="AI10:AI18" si="3">"100403;"&amp;Z10&amp;"@100603;"&amp;AB10</f>
        <v>100403;25@100603;25</v>
      </c>
      <c r="AJ10" s="3" t="str">
        <f t="shared" ref="AJ10:AJ18" si="4">"攻击提升"&amp;Z10&amp;"点;物防提升"&amp;AB10&amp;"点"</f>
        <v>攻击提升25点;物防提升25点</v>
      </c>
      <c r="AK10" s="3" t="str">
        <f t="shared" ref="AK10:AK18" si="5">"100403;"&amp;Z10&amp;"@100803;"&amp;AB10</f>
        <v>100403;25@100803;25</v>
      </c>
      <c r="AL10" s="3" t="str">
        <f t="shared" ref="AL10:AL18" si="6">"攻击提升"&amp;Z10&amp;"点;魔防提升"&amp;AB10&amp;"点"</f>
        <v>攻击提升25点;魔防提升25点</v>
      </c>
      <c r="AM10" s="3" t="str">
        <f t="shared" ref="AM10:AM18" si="7">"100403;"&amp;Z10&amp;"@100203;"&amp;AE10</f>
        <v>100403;25@100203;60</v>
      </c>
      <c r="AN10" s="3" t="str">
        <f t="shared" ref="AN10:AN18" si="8">"攻击提升"&amp;Z10&amp;"点;血量提升"&amp;AE10&amp;"点"</f>
        <v>攻击提升25点;血量提升60点</v>
      </c>
      <c r="AO10" s="3" t="str">
        <f t="shared" ref="AO10:AO18" si="9">"100203;"&amp;AD10</f>
        <v>100203;125</v>
      </c>
      <c r="AP10" s="3" t="str">
        <f t="shared" ref="AP10:AP18" si="10">"血量提升"&amp;AD10&amp;"点"</f>
        <v>血量提升125点</v>
      </c>
      <c r="AQ10" s="3" t="str">
        <f t="shared" ref="AQ10:AQ18" si="11">"101003;"&amp;Z10&amp;"@100203;"&amp;AE10</f>
        <v>101003;25@100203;60</v>
      </c>
      <c r="AR10" s="3" t="str">
        <f t="shared" ref="AR10:AR18" si="12">"魔法提升"&amp;Z10&amp;"点;血量提升"&amp;AE10&amp;"点"</f>
        <v>魔法提升25点;血量提升60点</v>
      </c>
      <c r="AS10" s="3" t="str">
        <f t="shared" ref="AS10:AS18" si="13">"100203;"&amp;AE10&amp;"@100603;"&amp;AC10&amp;"@100803;"&amp;AC10</f>
        <v>100203;60@100603;10@100803;10</v>
      </c>
      <c r="AT10" s="3" t="str">
        <f t="shared" ref="AT10:AT18" si="14">"血量提升"&amp;AE10&amp;"点;物防提升"&amp;AC10&amp;"点"&amp;"点;魔防提升"&amp;AC10&amp;"点"</f>
        <v>血量提升60点;物防提升10点点;魔防提升10点</v>
      </c>
    </row>
    <row r="11" spans="2:46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2999</v>
      </c>
      <c r="P11" s="1">
        <v>600</v>
      </c>
      <c r="Q11" s="1" t="s">
        <v>3077</v>
      </c>
      <c r="R11" s="1" t="s">
        <v>2999</v>
      </c>
      <c r="S11" s="1"/>
      <c r="T11" s="4">
        <v>3</v>
      </c>
      <c r="U11" s="4">
        <f t="shared" si="0"/>
        <v>15</v>
      </c>
      <c r="V11" s="4">
        <f>SUM($W$9:W11)</f>
        <v>450</v>
      </c>
      <c r="W11" s="1">
        <v>200</v>
      </c>
      <c r="X11" s="1">
        <f t="shared" ref="W11:X18" si="15">X10+100</f>
        <v>300</v>
      </c>
      <c r="Y11" s="1">
        <v>15</v>
      </c>
      <c r="Z11" s="1">
        <f>SUM($Y$9:Y11)</f>
        <v>40</v>
      </c>
      <c r="AA11" s="1">
        <f t="shared" si="1"/>
        <v>120</v>
      </c>
      <c r="AB11" s="1">
        <f>Z11</f>
        <v>40</v>
      </c>
      <c r="AC11" s="1">
        <v>15</v>
      </c>
      <c r="AD11" s="1">
        <f>Z11*5</f>
        <v>200</v>
      </c>
      <c r="AE11" s="1">
        <f>Z11*2.5</f>
        <v>100</v>
      </c>
      <c r="AF11" s="1">
        <f>Z11*2.5</f>
        <v>100</v>
      </c>
      <c r="AG11" s="1">
        <f t="shared" si="2"/>
        <v>40</v>
      </c>
      <c r="AI11" s="3" t="str">
        <f t="shared" si="3"/>
        <v>100403;40@100603;40</v>
      </c>
      <c r="AJ11" s="3" t="str">
        <f t="shared" si="4"/>
        <v>攻击提升40点;物防提升40点</v>
      </c>
      <c r="AK11" s="3" t="str">
        <f t="shared" si="5"/>
        <v>100403;40@100803;40</v>
      </c>
      <c r="AL11" s="3" t="str">
        <f t="shared" si="6"/>
        <v>攻击提升40点;魔防提升40点</v>
      </c>
      <c r="AM11" s="3" t="str">
        <f t="shared" si="7"/>
        <v>100403;40@100203;100</v>
      </c>
      <c r="AN11" s="3" t="str">
        <f t="shared" si="8"/>
        <v>攻击提升40点;血量提升100点</v>
      </c>
      <c r="AO11" s="3" t="str">
        <f t="shared" si="9"/>
        <v>100203;200</v>
      </c>
      <c r="AP11" s="3" t="str">
        <f t="shared" si="10"/>
        <v>血量提升200点</v>
      </c>
      <c r="AQ11" s="3" t="str">
        <f t="shared" si="11"/>
        <v>101003;40@100203;100</v>
      </c>
      <c r="AR11" s="3" t="str">
        <f t="shared" si="12"/>
        <v>魔法提升40点;血量提升100点</v>
      </c>
      <c r="AS11" s="3" t="str">
        <f t="shared" si="13"/>
        <v>100203;100@100603;15@100803;15</v>
      </c>
      <c r="AT11" s="3" t="str">
        <f t="shared" si="14"/>
        <v>血量提升100点;物防提升15点点;魔防提升15点</v>
      </c>
    </row>
    <row r="12" spans="2:46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1" t="s">
        <v>3078</v>
      </c>
      <c r="R12" s="1" t="s">
        <v>2982</v>
      </c>
      <c r="S12" s="1"/>
      <c r="T12" s="4">
        <v>4</v>
      </c>
      <c r="U12" s="4">
        <f t="shared" si="0"/>
        <v>25</v>
      </c>
      <c r="V12" s="4">
        <f>SUM($W$9:W12)</f>
        <v>750</v>
      </c>
      <c r="W12" s="1">
        <f t="shared" si="15"/>
        <v>300</v>
      </c>
      <c r="X12" s="1">
        <f t="shared" si="15"/>
        <v>400</v>
      </c>
      <c r="Y12" s="1">
        <v>20</v>
      </c>
      <c r="Z12" s="1">
        <f>SUM($Y$9:Y12)</f>
        <v>60</v>
      </c>
      <c r="AA12" s="1">
        <f t="shared" si="1"/>
        <v>180</v>
      </c>
      <c r="AB12" s="1">
        <f>Z12</f>
        <v>60</v>
      </c>
      <c r="AC12" s="1">
        <f t="shared" ref="AC12:AC18" si="16">AB12/3</f>
        <v>20</v>
      </c>
      <c r="AD12" s="1">
        <f>Z12*5</f>
        <v>300</v>
      </c>
      <c r="AE12" s="1">
        <f>Z12*2.5</f>
        <v>150</v>
      </c>
      <c r="AF12" s="1">
        <f>Z12*2.5</f>
        <v>150</v>
      </c>
      <c r="AG12" s="1">
        <f t="shared" si="2"/>
        <v>60</v>
      </c>
      <c r="AI12" s="3" t="str">
        <f t="shared" si="3"/>
        <v>100403;60@100603;60</v>
      </c>
      <c r="AJ12" s="3" t="str">
        <f t="shared" si="4"/>
        <v>攻击提升60点;物防提升60点</v>
      </c>
      <c r="AK12" s="3" t="str">
        <f t="shared" si="5"/>
        <v>100403;60@100803;60</v>
      </c>
      <c r="AL12" s="3" t="str">
        <f t="shared" si="6"/>
        <v>攻击提升60点;魔防提升60点</v>
      </c>
      <c r="AM12" s="3" t="str">
        <f t="shared" si="7"/>
        <v>100403;60@100203;150</v>
      </c>
      <c r="AN12" s="3" t="str">
        <f t="shared" si="8"/>
        <v>攻击提升60点;血量提升150点</v>
      </c>
      <c r="AO12" s="3" t="str">
        <f t="shared" si="9"/>
        <v>100203;300</v>
      </c>
      <c r="AP12" s="3" t="str">
        <f t="shared" si="10"/>
        <v>血量提升300点</v>
      </c>
      <c r="AQ12" s="3" t="str">
        <f t="shared" si="11"/>
        <v>101003;60@100203;150</v>
      </c>
      <c r="AR12" s="3" t="str">
        <f t="shared" si="12"/>
        <v>魔法提升60点;血量提升150点</v>
      </c>
      <c r="AS12" s="3" t="str">
        <f t="shared" si="13"/>
        <v>100203;150@100603;20@100803;20</v>
      </c>
      <c r="AT12" s="3" t="str">
        <f t="shared" si="14"/>
        <v>血量提升150点;物防提升20点点;魔防提升20点</v>
      </c>
    </row>
    <row r="13" spans="2:46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3079</v>
      </c>
      <c r="R13" s="1" t="s">
        <v>2698</v>
      </c>
      <c r="S13" s="1"/>
      <c r="T13" s="4">
        <v>5</v>
      </c>
      <c r="U13" s="4">
        <f t="shared" si="0"/>
        <v>40</v>
      </c>
      <c r="V13" s="4">
        <f>SUM($W$9:W13)</f>
        <v>1200</v>
      </c>
      <c r="W13" s="1">
        <v>450</v>
      </c>
      <c r="X13" s="1">
        <f t="shared" si="15"/>
        <v>500</v>
      </c>
      <c r="Y13" s="1">
        <v>30</v>
      </c>
      <c r="Z13" s="1">
        <f>SUM($Y$9:Y13)</f>
        <v>90</v>
      </c>
      <c r="AA13" s="1">
        <f t="shared" si="1"/>
        <v>270</v>
      </c>
      <c r="AB13" s="1">
        <f>Z13</f>
        <v>90</v>
      </c>
      <c r="AC13" s="1">
        <f t="shared" si="16"/>
        <v>30</v>
      </c>
      <c r="AD13" s="1">
        <f>Z13*5</f>
        <v>450</v>
      </c>
      <c r="AE13" s="1">
        <f>Z13*2.5</f>
        <v>225</v>
      </c>
      <c r="AF13" s="1">
        <f>Z13*2.5</f>
        <v>225</v>
      </c>
      <c r="AG13" s="1">
        <f t="shared" si="2"/>
        <v>90</v>
      </c>
      <c r="AI13" s="3" t="str">
        <f t="shared" si="3"/>
        <v>100403;90@100603;90</v>
      </c>
      <c r="AJ13" s="3" t="str">
        <f t="shared" si="4"/>
        <v>攻击提升90点;物防提升90点</v>
      </c>
      <c r="AK13" s="3" t="str">
        <f t="shared" si="5"/>
        <v>100403;90@100803;90</v>
      </c>
      <c r="AL13" s="3" t="str">
        <f t="shared" si="6"/>
        <v>攻击提升90点;魔防提升90点</v>
      </c>
      <c r="AM13" s="3" t="str">
        <f t="shared" si="7"/>
        <v>100403;90@100203;225</v>
      </c>
      <c r="AN13" s="3" t="str">
        <f t="shared" si="8"/>
        <v>攻击提升90点;血量提升225点</v>
      </c>
      <c r="AO13" s="3" t="str">
        <f t="shared" si="9"/>
        <v>100203;450</v>
      </c>
      <c r="AP13" s="3" t="str">
        <f t="shared" si="10"/>
        <v>血量提升450点</v>
      </c>
      <c r="AQ13" s="3" t="str">
        <f t="shared" si="11"/>
        <v>101003;90@100203;225</v>
      </c>
      <c r="AR13" s="3" t="str">
        <f t="shared" si="12"/>
        <v>魔法提升90点;血量提升225点</v>
      </c>
      <c r="AS13" s="3" t="str">
        <f t="shared" si="13"/>
        <v>100203;225@100603;30@100803;30</v>
      </c>
      <c r="AT13" s="3" t="str">
        <f t="shared" si="14"/>
        <v>血量提升225点;物防提升30点点;魔防提升30点</v>
      </c>
    </row>
    <row r="14" spans="2:46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 t="s">
        <v>3080</v>
      </c>
      <c r="R14" s="1"/>
      <c r="S14" s="1"/>
      <c r="T14" s="4">
        <v>6</v>
      </c>
      <c r="U14" s="4">
        <f t="shared" si="0"/>
        <v>60</v>
      </c>
      <c r="V14" s="4">
        <f>SUM($W$9:W14)</f>
        <v>1800</v>
      </c>
      <c r="W14" s="1">
        <v>600</v>
      </c>
      <c r="X14" s="1">
        <f t="shared" si="15"/>
        <v>600</v>
      </c>
      <c r="Y14" s="1">
        <v>30</v>
      </c>
      <c r="Z14" s="1">
        <f>SUM($Y$9:Y14)</f>
        <v>120</v>
      </c>
      <c r="AA14" s="1">
        <f t="shared" si="1"/>
        <v>360</v>
      </c>
      <c r="AB14" s="1">
        <f>Z14</f>
        <v>120</v>
      </c>
      <c r="AC14" s="1">
        <f t="shared" si="16"/>
        <v>40</v>
      </c>
      <c r="AD14" s="1">
        <f>Z14*5</f>
        <v>600</v>
      </c>
      <c r="AE14" s="1">
        <f>Z14*2.5</f>
        <v>300</v>
      </c>
      <c r="AF14" s="1">
        <f>Z14*2.5</f>
        <v>300</v>
      </c>
      <c r="AG14" s="1">
        <f t="shared" si="2"/>
        <v>120</v>
      </c>
      <c r="AI14" s="3" t="str">
        <f t="shared" si="3"/>
        <v>100403;120@100603;120</v>
      </c>
      <c r="AJ14" s="3" t="str">
        <f t="shared" si="4"/>
        <v>攻击提升120点;物防提升120点</v>
      </c>
      <c r="AK14" s="3" t="str">
        <f t="shared" si="5"/>
        <v>100403;120@100803;120</v>
      </c>
      <c r="AL14" s="3" t="str">
        <f t="shared" si="6"/>
        <v>攻击提升120点;魔防提升120点</v>
      </c>
      <c r="AM14" s="3" t="str">
        <f t="shared" si="7"/>
        <v>100403;120@100203;300</v>
      </c>
      <c r="AN14" s="3" t="str">
        <f t="shared" si="8"/>
        <v>攻击提升120点;血量提升300点</v>
      </c>
      <c r="AO14" s="3" t="str">
        <f t="shared" si="9"/>
        <v>100203;600</v>
      </c>
      <c r="AP14" s="3" t="str">
        <f t="shared" si="10"/>
        <v>血量提升600点</v>
      </c>
      <c r="AQ14" s="3" t="str">
        <f t="shared" si="11"/>
        <v>101003;120@100203;300</v>
      </c>
      <c r="AR14" s="3" t="str">
        <f t="shared" si="12"/>
        <v>魔法提升120点;血量提升300点</v>
      </c>
      <c r="AS14" s="3" t="str">
        <f t="shared" si="13"/>
        <v>100203;300@100603;40@100803;40</v>
      </c>
      <c r="AT14" s="3" t="str">
        <f t="shared" si="14"/>
        <v>血量提升300点;物防提升40点点;魔防提升40点</v>
      </c>
    </row>
    <row r="15" spans="2:46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  <c r="R15" s="1"/>
      <c r="S15" s="1"/>
      <c r="T15" s="4">
        <v>7</v>
      </c>
      <c r="U15" s="4">
        <f t="shared" si="0"/>
        <v>86.666666666666671</v>
      </c>
      <c r="V15" s="4">
        <f>SUM($W$9:W15)</f>
        <v>2600</v>
      </c>
      <c r="W15" s="1">
        <v>800</v>
      </c>
      <c r="X15" s="1">
        <f t="shared" si="15"/>
        <v>700</v>
      </c>
      <c r="Y15" s="1">
        <v>30</v>
      </c>
      <c r="Z15" s="1">
        <f>SUM($Y$9:Y15)</f>
        <v>150</v>
      </c>
      <c r="AA15" s="1">
        <f t="shared" si="1"/>
        <v>450</v>
      </c>
      <c r="AB15" s="1">
        <f>Z15</f>
        <v>150</v>
      </c>
      <c r="AC15" s="1">
        <f t="shared" si="16"/>
        <v>50</v>
      </c>
      <c r="AD15" s="1">
        <f>Z15*5</f>
        <v>750</v>
      </c>
      <c r="AE15" s="1">
        <f>Z15*2.5</f>
        <v>375</v>
      </c>
      <c r="AF15" s="1">
        <f>Z15*2.5</f>
        <v>375</v>
      </c>
      <c r="AG15" s="1">
        <f t="shared" si="2"/>
        <v>150</v>
      </c>
      <c r="AI15" s="3" t="str">
        <f t="shared" si="3"/>
        <v>100403;150@100603;150</v>
      </c>
      <c r="AJ15" s="3" t="str">
        <f t="shared" si="4"/>
        <v>攻击提升150点;物防提升150点</v>
      </c>
      <c r="AK15" s="3" t="str">
        <f t="shared" si="5"/>
        <v>100403;150@100803;150</v>
      </c>
      <c r="AL15" s="3" t="str">
        <f t="shared" si="6"/>
        <v>攻击提升150点;魔防提升150点</v>
      </c>
      <c r="AM15" s="3" t="str">
        <f t="shared" si="7"/>
        <v>100403;150@100203;375</v>
      </c>
      <c r="AN15" s="3" t="str">
        <f t="shared" si="8"/>
        <v>攻击提升150点;血量提升375点</v>
      </c>
      <c r="AO15" s="3" t="str">
        <f t="shared" si="9"/>
        <v>100203;750</v>
      </c>
      <c r="AP15" s="3" t="str">
        <f t="shared" si="10"/>
        <v>血量提升750点</v>
      </c>
      <c r="AQ15" s="3" t="str">
        <f t="shared" si="11"/>
        <v>101003;150@100203;375</v>
      </c>
      <c r="AR15" s="3" t="str">
        <f t="shared" si="12"/>
        <v>魔法提升150点;血量提升375点</v>
      </c>
      <c r="AS15" s="3" t="str">
        <f t="shared" si="13"/>
        <v>100203;375@100603;50@100803;50</v>
      </c>
      <c r="AT15" s="3" t="str">
        <f t="shared" si="14"/>
        <v>血量提升375点;物防提升50点点;魔防提升50点</v>
      </c>
    </row>
    <row r="16" spans="2:46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  <c r="R16" s="1"/>
      <c r="S16" s="1"/>
      <c r="T16" s="4">
        <v>8</v>
      </c>
      <c r="U16" s="4">
        <f t="shared" si="0"/>
        <v>120</v>
      </c>
      <c r="V16" s="4">
        <f>SUM($W$9:W16)</f>
        <v>3600</v>
      </c>
      <c r="W16" s="1">
        <v>1000</v>
      </c>
      <c r="X16" s="1">
        <f>X15+150</f>
        <v>850</v>
      </c>
      <c r="Y16" s="1">
        <v>30</v>
      </c>
      <c r="Z16" s="1">
        <f>SUM($Y$9:Y16)</f>
        <v>180</v>
      </c>
      <c r="AA16" s="1">
        <f t="shared" si="1"/>
        <v>540</v>
      </c>
      <c r="AB16" s="1">
        <f>Z16</f>
        <v>180</v>
      </c>
      <c r="AC16" s="1">
        <f t="shared" si="16"/>
        <v>60</v>
      </c>
      <c r="AD16" s="1">
        <f>Z16*5</f>
        <v>900</v>
      </c>
      <c r="AE16" s="1">
        <f>Z16*2.5</f>
        <v>450</v>
      </c>
      <c r="AF16" s="1">
        <f>Z16*2.5</f>
        <v>450</v>
      </c>
      <c r="AG16" s="1">
        <f t="shared" si="2"/>
        <v>180</v>
      </c>
      <c r="AI16" s="3" t="str">
        <f t="shared" si="3"/>
        <v>100403;180@100603;180</v>
      </c>
      <c r="AJ16" s="3" t="str">
        <f t="shared" si="4"/>
        <v>攻击提升180点;物防提升180点</v>
      </c>
      <c r="AK16" s="3" t="str">
        <f t="shared" si="5"/>
        <v>100403;180@100803;180</v>
      </c>
      <c r="AL16" s="3" t="str">
        <f t="shared" si="6"/>
        <v>攻击提升180点;魔防提升180点</v>
      </c>
      <c r="AM16" s="3" t="str">
        <f t="shared" si="7"/>
        <v>100403;180@100203;450</v>
      </c>
      <c r="AN16" s="3" t="str">
        <f t="shared" si="8"/>
        <v>攻击提升180点;血量提升450点</v>
      </c>
      <c r="AO16" s="3" t="str">
        <f t="shared" si="9"/>
        <v>100203;900</v>
      </c>
      <c r="AP16" s="3" t="str">
        <f t="shared" si="10"/>
        <v>血量提升900点</v>
      </c>
      <c r="AQ16" s="3" t="str">
        <f t="shared" si="11"/>
        <v>101003;180@100203;450</v>
      </c>
      <c r="AR16" s="3" t="str">
        <f t="shared" si="12"/>
        <v>魔法提升180点;血量提升450点</v>
      </c>
      <c r="AS16" s="3" t="str">
        <f t="shared" si="13"/>
        <v>100203;450@100603;60@100803;60</v>
      </c>
      <c r="AT16" s="3" t="str">
        <f t="shared" si="14"/>
        <v>血量提升450点;物防提升60点点;魔防提升60点</v>
      </c>
    </row>
    <row r="17" spans="2:46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  <c r="R17" s="1"/>
      <c r="S17" s="1"/>
      <c r="T17" s="4">
        <v>9</v>
      </c>
      <c r="U17" s="4">
        <f t="shared" si="0"/>
        <v>160</v>
      </c>
      <c r="V17" s="4">
        <f>SUM($W$9:W17)</f>
        <v>4800</v>
      </c>
      <c r="W17" s="1">
        <v>1200</v>
      </c>
      <c r="X17" s="1">
        <f>X16+150</f>
        <v>1000</v>
      </c>
      <c r="Y17" s="1">
        <v>30</v>
      </c>
      <c r="Z17" s="1">
        <f>SUM($Y$9:Y17)</f>
        <v>210</v>
      </c>
      <c r="AA17" s="1">
        <f t="shared" si="1"/>
        <v>630</v>
      </c>
      <c r="AB17" s="1">
        <f>Z17</f>
        <v>210</v>
      </c>
      <c r="AC17" s="1">
        <f t="shared" si="16"/>
        <v>70</v>
      </c>
      <c r="AD17" s="1">
        <f>Z17*5</f>
        <v>1050</v>
      </c>
      <c r="AE17" s="1">
        <f>Z17*2.5</f>
        <v>525</v>
      </c>
      <c r="AF17" s="1">
        <f>Z17*2.5</f>
        <v>525</v>
      </c>
      <c r="AG17" s="1">
        <f t="shared" si="2"/>
        <v>210</v>
      </c>
      <c r="AI17" s="3" t="str">
        <f t="shared" si="3"/>
        <v>100403;210@100603;210</v>
      </c>
      <c r="AJ17" s="3" t="str">
        <f t="shared" si="4"/>
        <v>攻击提升210点;物防提升210点</v>
      </c>
      <c r="AK17" s="3" t="str">
        <f t="shared" si="5"/>
        <v>100403;210@100803;210</v>
      </c>
      <c r="AL17" s="3" t="str">
        <f t="shared" si="6"/>
        <v>攻击提升210点;魔防提升210点</v>
      </c>
      <c r="AM17" s="3" t="str">
        <f t="shared" si="7"/>
        <v>100403;210@100203;525</v>
      </c>
      <c r="AN17" s="3" t="str">
        <f t="shared" si="8"/>
        <v>攻击提升210点;血量提升525点</v>
      </c>
      <c r="AO17" s="3" t="str">
        <f t="shared" si="9"/>
        <v>100203;1050</v>
      </c>
      <c r="AP17" s="3" t="str">
        <f t="shared" si="10"/>
        <v>血量提升1050点</v>
      </c>
      <c r="AQ17" s="3" t="str">
        <f t="shared" si="11"/>
        <v>101003;210@100203;525</v>
      </c>
      <c r="AR17" s="3" t="str">
        <f t="shared" si="12"/>
        <v>魔法提升210点;血量提升525点</v>
      </c>
      <c r="AS17" s="3" t="str">
        <f t="shared" si="13"/>
        <v>100203;525@100603;70@100803;70</v>
      </c>
      <c r="AT17" s="3" t="str">
        <f t="shared" si="14"/>
        <v>血量提升525点;物防提升70点点;魔防提升70点</v>
      </c>
    </row>
    <row r="18" spans="2:46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  <c r="S18" s="1"/>
      <c r="T18" s="4">
        <v>10</v>
      </c>
      <c r="U18" s="4">
        <f t="shared" si="0"/>
        <v>203.33333333333334</v>
      </c>
      <c r="V18" s="4">
        <f>SUM($W$9:W18)</f>
        <v>6100</v>
      </c>
      <c r="W18" s="1">
        <f t="shared" si="15"/>
        <v>1300</v>
      </c>
      <c r="X18" s="1">
        <f>X17+200</f>
        <v>1200</v>
      </c>
      <c r="Y18" s="1">
        <v>30</v>
      </c>
      <c r="Z18" s="1">
        <f>SUM($Y$9:Y18)</f>
        <v>240</v>
      </c>
      <c r="AA18" s="1">
        <f t="shared" si="1"/>
        <v>720</v>
      </c>
      <c r="AB18" s="1">
        <f>Z18</f>
        <v>240</v>
      </c>
      <c r="AC18" s="1">
        <f t="shared" si="16"/>
        <v>80</v>
      </c>
      <c r="AD18" s="1">
        <f>Z18*5</f>
        <v>1200</v>
      </c>
      <c r="AE18" s="1">
        <f>Z18*2.5</f>
        <v>600</v>
      </c>
      <c r="AF18" s="1">
        <f>Z18*2.5</f>
        <v>600</v>
      </c>
      <c r="AG18" s="1">
        <f t="shared" si="2"/>
        <v>240</v>
      </c>
      <c r="AI18" s="3" t="str">
        <f t="shared" si="3"/>
        <v>100403;240@100603;240</v>
      </c>
      <c r="AJ18" s="3" t="str">
        <f t="shared" si="4"/>
        <v>攻击提升240点;物防提升240点</v>
      </c>
      <c r="AK18" s="3" t="str">
        <f t="shared" si="5"/>
        <v>100403;240@100803;240</v>
      </c>
      <c r="AL18" s="3" t="str">
        <f t="shared" si="6"/>
        <v>攻击提升240点;魔防提升240点</v>
      </c>
      <c r="AM18" s="3" t="str">
        <f t="shared" si="7"/>
        <v>100403;240@100203;600</v>
      </c>
      <c r="AN18" s="3" t="str">
        <f t="shared" si="8"/>
        <v>攻击提升240点;血量提升600点</v>
      </c>
      <c r="AO18" s="3" t="str">
        <f t="shared" si="9"/>
        <v>100203;1200</v>
      </c>
      <c r="AP18" s="3" t="str">
        <f t="shared" si="10"/>
        <v>血量提升1200点</v>
      </c>
      <c r="AQ18" s="3" t="str">
        <f t="shared" si="11"/>
        <v>101003;240@100203;600</v>
      </c>
      <c r="AR18" s="3" t="str">
        <f t="shared" si="12"/>
        <v>魔法提升240点;血量提升600点</v>
      </c>
      <c r="AS18" s="3" t="str">
        <f t="shared" si="13"/>
        <v>100203;600@100603;80@100803;80</v>
      </c>
      <c r="AT18" s="3" t="str">
        <f t="shared" si="14"/>
        <v>血量提升600点;物防提升80点点;魔防提升80点</v>
      </c>
    </row>
    <row r="19" spans="2:46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  <c r="L19" s="1" t="s">
        <v>3091</v>
      </c>
      <c r="M19" s="1">
        <v>30</v>
      </c>
      <c r="N19" s="7"/>
      <c r="O19" s="1" t="s">
        <v>3094</v>
      </c>
      <c r="P19" s="1">
        <f>SUM(P10:P14)</f>
        <v>5400</v>
      </c>
      <c r="Q19" s="1">
        <f>P19/30</f>
        <v>180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46" s="3" customFormat="1" ht="20.100000000000001" customHeight="1">
      <c r="B20" s="1"/>
      <c r="C20" s="1"/>
      <c r="F20" s="67"/>
      <c r="G20" s="67"/>
      <c r="H20" s="67"/>
      <c r="I20" s="3" t="s">
        <v>3004</v>
      </c>
      <c r="L20" s="1" t="s">
        <v>3092</v>
      </c>
      <c r="M20" s="1">
        <v>10</v>
      </c>
      <c r="N20" s="7"/>
      <c r="O20" s="1"/>
      <c r="P20" s="1"/>
      <c r="Q20" s="1"/>
      <c r="R20" s="1"/>
      <c r="S20" s="1"/>
      <c r="T20" s="1"/>
      <c r="U20" s="1"/>
      <c r="V20" s="1"/>
      <c r="W20" s="1"/>
      <c r="X20" s="1"/>
      <c r="Y20" s="1">
        <v>10</v>
      </c>
      <c r="Z20" s="1"/>
    </row>
    <row r="21" spans="2:46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  <c r="L21" s="1" t="s">
        <v>3093</v>
      </c>
      <c r="M21" s="1">
        <v>20</v>
      </c>
      <c r="N21" s="7"/>
      <c r="O21" s="1"/>
      <c r="P21" s="1"/>
      <c r="Q21" s="1"/>
      <c r="R21" s="1"/>
      <c r="S21" s="1"/>
      <c r="T21" s="1"/>
      <c r="U21" s="1"/>
      <c r="V21" s="1"/>
      <c r="W21" s="1"/>
      <c r="X21" s="1"/>
      <c r="Y21" s="1" t="s">
        <v>3107</v>
      </c>
      <c r="Z21" s="1" t="s">
        <v>3107</v>
      </c>
      <c r="AA21" s="1" t="s">
        <v>3107</v>
      </c>
      <c r="AB21" s="1" t="s">
        <v>3107</v>
      </c>
      <c r="AC21" s="1" t="s">
        <v>3107</v>
      </c>
      <c r="AD21" s="1" t="s">
        <v>3107</v>
      </c>
      <c r="AE21" s="1"/>
    </row>
    <row r="22" spans="2:46" s="3" customFormat="1" ht="20.100000000000001" customHeight="1">
      <c r="B22" s="1"/>
      <c r="C22" s="1">
        <v>2</v>
      </c>
      <c r="D22" s="1">
        <v>300</v>
      </c>
      <c r="E22" s="1">
        <f t="shared" ref="E22:E24" si="17">D22/30</f>
        <v>10</v>
      </c>
      <c r="R22" s="3">
        <v>100403</v>
      </c>
      <c r="S22" s="3" t="s">
        <v>3084</v>
      </c>
      <c r="T22" s="1"/>
      <c r="U22" s="1"/>
      <c r="V22" s="1"/>
      <c r="W22" s="1"/>
      <c r="X22" s="4" t="s">
        <v>3081</v>
      </c>
      <c r="Y22" s="1">
        <v>1</v>
      </c>
      <c r="Z22" s="1">
        <v>2</v>
      </c>
      <c r="AA22" s="1">
        <v>3</v>
      </c>
      <c r="AB22" s="1">
        <v>4</v>
      </c>
      <c r="AC22" s="1">
        <v>5</v>
      </c>
      <c r="AD22" s="1">
        <v>6</v>
      </c>
      <c r="AE22" s="1"/>
      <c r="AJ22" s="3" t="s">
        <v>3108</v>
      </c>
    </row>
    <row r="23" spans="2:46" s="3" customFormat="1" ht="20.100000000000001" customHeight="1">
      <c r="B23" s="1"/>
      <c r="C23" s="1">
        <v>3</v>
      </c>
      <c r="D23" s="1">
        <v>500</v>
      </c>
      <c r="E23" s="1">
        <f t="shared" si="17"/>
        <v>16.666666666666668</v>
      </c>
      <c r="G23" s="1" t="s">
        <v>3005</v>
      </c>
      <c r="R23" s="119" t="s">
        <v>3099</v>
      </c>
      <c r="S23" s="3" t="s">
        <v>3100</v>
      </c>
      <c r="X23" s="4">
        <v>1</v>
      </c>
      <c r="Y23" s="1">
        <v>0</v>
      </c>
      <c r="Z23" s="1">
        <v>5</v>
      </c>
      <c r="AA23" s="1">
        <v>12</v>
      </c>
      <c r="AB23" s="1">
        <v>18</v>
      </c>
      <c r="AC23" s="1">
        <v>24</v>
      </c>
      <c r="AD23" s="1">
        <v>30</v>
      </c>
      <c r="AJ23" s="3" t="s">
        <v>3109</v>
      </c>
    </row>
    <row r="24" spans="2:46" s="3" customFormat="1" ht="20.100000000000001" customHeight="1">
      <c r="B24" s="1"/>
      <c r="C24" s="1">
        <v>4</v>
      </c>
      <c r="D24" s="1">
        <v>1000</v>
      </c>
      <c r="E24" s="1">
        <f t="shared" si="17"/>
        <v>33.333333333333336</v>
      </c>
      <c r="G24" s="1" t="s">
        <v>3039</v>
      </c>
      <c r="H24" s="1">
        <v>1</v>
      </c>
      <c r="I24" s="7" t="s">
        <v>3070</v>
      </c>
      <c r="O24" s="3" t="s">
        <v>2981</v>
      </c>
      <c r="R24" s="119"/>
      <c r="S24" s="120"/>
      <c r="T24" s="121"/>
      <c r="U24" s="119"/>
      <c r="V24" s="108"/>
      <c r="W24" s="119"/>
      <c r="X24" s="4"/>
      <c r="Y24" s="1"/>
      <c r="Z24" s="1"/>
      <c r="AA24" s="1"/>
      <c r="AB24" s="1"/>
      <c r="AC24" s="1"/>
      <c r="AD24" s="1"/>
      <c r="AJ24" s="3" t="s">
        <v>3110</v>
      </c>
    </row>
    <row r="25" spans="2:46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3069</v>
      </c>
      <c r="O25" s="3" t="s">
        <v>2982</v>
      </c>
      <c r="R25" s="119"/>
      <c r="S25" s="120"/>
      <c r="T25" s="121"/>
      <c r="U25" s="119"/>
      <c r="V25" s="108"/>
      <c r="W25" s="119"/>
      <c r="X25" s="4"/>
      <c r="AJ25" s="3" t="s">
        <v>3111</v>
      </c>
    </row>
    <row r="26" spans="2:46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3071</v>
      </c>
      <c r="O26" s="3" t="s">
        <v>2983</v>
      </c>
      <c r="R26" s="3" t="s">
        <v>3101</v>
      </c>
      <c r="S26" s="3" t="s">
        <v>3089</v>
      </c>
      <c r="X26" s="4"/>
      <c r="AJ26" s="3" t="s">
        <v>3112</v>
      </c>
    </row>
    <row r="27" spans="2:46" s="3" customFormat="1" ht="20.100000000000001" customHeight="1">
      <c r="B27" s="1"/>
      <c r="C27" s="1"/>
      <c r="E27" s="1"/>
      <c r="G27" s="1"/>
      <c r="H27" s="1"/>
      <c r="I27" s="7"/>
      <c r="O27" s="3" t="s">
        <v>2984</v>
      </c>
      <c r="X27" s="4"/>
      <c r="AJ27" s="3" t="s">
        <v>3113</v>
      </c>
    </row>
    <row r="28" spans="2:46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  <c r="R28" s="3" t="s">
        <v>3102</v>
      </c>
      <c r="S28" s="3" t="s">
        <v>3103</v>
      </c>
      <c r="X28" s="4"/>
      <c r="AJ28" s="3" t="s">
        <v>3114</v>
      </c>
    </row>
    <row r="29" spans="2:46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  <c r="O29" s="1">
        <v>10000180</v>
      </c>
      <c r="P29" s="1" t="s">
        <v>3118</v>
      </c>
      <c r="R29" s="122" t="s">
        <v>3104</v>
      </c>
      <c r="S29" s="105" t="s">
        <v>3105</v>
      </c>
      <c r="X29" s="4"/>
      <c r="AJ29" t="s">
        <v>3115</v>
      </c>
    </row>
    <row r="30" spans="2:46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  <c r="O30" s="1">
        <v>10000181</v>
      </c>
      <c r="P30" s="1" t="s">
        <v>3119</v>
      </c>
      <c r="X30" s="4"/>
      <c r="AJ30" t="s">
        <v>3116</v>
      </c>
    </row>
    <row r="31" spans="2:46" ht="20.100000000000001" customHeight="1">
      <c r="B31" s="3" t="s">
        <v>2985</v>
      </c>
      <c r="C31" s="3"/>
      <c r="D31" s="13"/>
      <c r="E31" s="13"/>
      <c r="G31" s="1"/>
      <c r="H31" s="1"/>
      <c r="I31" s="7"/>
      <c r="X31" s="4"/>
      <c r="AJ31" t="s">
        <v>3117</v>
      </c>
    </row>
    <row r="32" spans="2:46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3072</v>
      </c>
      <c r="X32" s="4"/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3073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3074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3060</v>
      </c>
    </row>
    <row r="38" spans="2:15" ht="20.100000000000001" customHeight="1">
      <c r="G38" s="1" t="s">
        <v>3025</v>
      </c>
      <c r="H38" s="1">
        <v>3</v>
      </c>
      <c r="I38" s="7" t="s">
        <v>3061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3041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3062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3063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1" t="s">
        <v>3027</v>
      </c>
      <c r="N44" s="1">
        <v>50000101</v>
      </c>
      <c r="O44" s="1" t="s">
        <v>3064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3065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3066</v>
      </c>
    </row>
    <row r="47" spans="2:15" s="5" customFormat="1" ht="20.100000000000001" customHeight="1">
      <c r="B47" s="29"/>
      <c r="C47" s="29"/>
      <c r="N47" s="1">
        <v>50000201</v>
      </c>
      <c r="O47" s="1" t="s">
        <v>3067</v>
      </c>
    </row>
    <row r="48" spans="2:15" s="5" customFormat="1" ht="20.100000000000001" customHeight="1">
      <c r="B48" s="29"/>
      <c r="C48" s="29"/>
      <c r="G48" s="1" t="s">
        <v>3059</v>
      </c>
      <c r="H48" s="1">
        <v>1</v>
      </c>
      <c r="I48" s="3" t="s">
        <v>3032</v>
      </c>
      <c r="N48" s="1">
        <v>50000202</v>
      </c>
      <c r="O48" s="1" t="s">
        <v>3067</v>
      </c>
    </row>
    <row r="49" spans="2:15" s="5" customFormat="1" ht="20.100000000000001" customHeight="1">
      <c r="B49" s="29"/>
      <c r="C49" s="29"/>
      <c r="G49" s="1" t="s">
        <v>3059</v>
      </c>
      <c r="H49" s="1">
        <v>2</v>
      </c>
      <c r="I49" s="3" t="s">
        <v>3033</v>
      </c>
      <c r="N49" s="1">
        <v>50000301</v>
      </c>
      <c r="O49" s="1" t="s">
        <v>3068</v>
      </c>
    </row>
    <row r="50" spans="2:15" s="5" customFormat="1" ht="20.100000000000001" customHeight="1">
      <c r="B50" s="29"/>
      <c r="C50" s="29"/>
      <c r="G50" s="1" t="s">
        <v>3059</v>
      </c>
      <c r="H50" s="1">
        <v>3</v>
      </c>
      <c r="I50" s="3" t="s">
        <v>3034</v>
      </c>
      <c r="N50" s="1">
        <v>50000302</v>
      </c>
      <c r="O50" s="1" t="s">
        <v>3068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3067</v>
      </c>
    </row>
    <row r="52" spans="2:15" s="5" customFormat="1" ht="20.100000000000001" customHeight="1">
      <c r="B52" s="29"/>
      <c r="C52" s="29"/>
      <c r="G52" s="1" t="s">
        <v>3058</v>
      </c>
      <c r="H52" s="1">
        <v>1</v>
      </c>
      <c r="I52" s="3" t="s">
        <v>3043</v>
      </c>
      <c r="N52" s="1">
        <v>50000402</v>
      </c>
      <c r="O52" s="1" t="s">
        <v>3067</v>
      </c>
    </row>
    <row r="53" spans="2:15" s="5" customFormat="1" ht="20.100000000000001" customHeight="1">
      <c r="B53" s="29"/>
      <c r="C53" s="29"/>
      <c r="G53" s="1" t="s">
        <v>3058</v>
      </c>
      <c r="H53" s="1">
        <v>2</v>
      </c>
      <c r="I53" s="3" t="s">
        <v>3044</v>
      </c>
      <c r="N53" s="1">
        <v>50000501</v>
      </c>
      <c r="O53" s="1" t="s">
        <v>3064</v>
      </c>
    </row>
    <row r="54" spans="2:15" s="5" customFormat="1" ht="20.100000000000001" customHeight="1">
      <c r="B54" s="29"/>
      <c r="C54" s="29"/>
      <c r="G54" s="1" t="s">
        <v>3058</v>
      </c>
      <c r="H54" s="1">
        <v>3</v>
      </c>
      <c r="I54" s="3" t="s">
        <v>3045</v>
      </c>
      <c r="N54" s="1">
        <v>50000502</v>
      </c>
      <c r="O54" s="1" t="s">
        <v>3065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3066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3046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3047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3048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3049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3054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3055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3056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3057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  <ignoredErrors>
    <ignoredError sqref="Z10:Z17 Z18 V10:V17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topLeftCell="A7"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2025-11-12T13:03:44Z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